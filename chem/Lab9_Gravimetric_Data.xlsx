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3aaf0ddacaed4ea8/Documents/CODE/CODE SUMMARY/chem/"/>
    </mc:Choice>
  </mc:AlternateContent>
  <xr:revisionPtr revIDLastSave="8" documentId="11_2B59BCBF10EF14749F5B6E72549230F34207EA4D" xr6:coauthVersionLast="47" xr6:coauthVersionMax="47" xr10:uidLastSave="{7E482179-AD59-4959-855A-246890E68A8B}"/>
  <bookViews>
    <workbookView xWindow="-110" yWindow="-110" windowWidth="22180" windowHeight="14140" xr2:uid="{00000000-000D-0000-FFFF-FFFF00000000}"/>
  </bookViews>
  <sheets>
    <sheet name="Lab 9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15" i="1" s="1"/>
  <c r="C16" i="1" s="1"/>
  <c r="C17" i="1" s="1"/>
  <c r="B14" i="1"/>
  <c r="B15" i="1" s="1"/>
  <c r="B16" i="1" s="1"/>
  <c r="B17" i="1" s="1"/>
  <c r="B19" i="1" s="1"/>
</calcChain>
</file>

<file path=xl/sharedStrings.xml><?xml version="1.0" encoding="utf-8"?>
<sst xmlns="http://schemas.openxmlformats.org/spreadsheetml/2006/main" count="21" uniqueCount="19">
  <si>
    <t>Lab 9: Gravimetric Analysis of Chloride</t>
  </si>
  <si>
    <t>Chemistry 150 - Winter 2026  |  Fill in yellow cells during lab</t>
  </si>
  <si>
    <t>Unknown Number:</t>
  </si>
  <si>
    <t>RAW MEASUREMENTS  (fill in yellow cells)</t>
  </si>
  <si>
    <t>Measurement</t>
  </si>
  <si>
    <t>Trial 1</t>
  </si>
  <si>
    <t>Trial 2</t>
  </si>
  <si>
    <t>Mass of unknown (g)</t>
  </si>
  <si>
    <t>Initial mass of filter paper (g)</t>
  </si>
  <si>
    <t>Final mass of filter paper + AgCl (g)</t>
  </si>
  <si>
    <t>CALCULATED RESULTS  (auto-filled)</t>
  </si>
  <si>
    <t>Quantity</t>
  </si>
  <si>
    <t>Mass of AgCl  (g)</t>
  </si>
  <si>
    <t>Moles of AgCl  (mol)</t>
  </si>
  <si>
    <t>Mass of Cl⁻  (g)</t>
  </si>
  <si>
    <t>% Cl⁻ in unknown</t>
  </si>
  <si>
    <t>AVERAGE % Cl⁻</t>
  </si>
  <si>
    <t>%</t>
  </si>
  <si>
    <t>Molar masses used:  AgCl = 143.32 g/mol    Cl = 35.45 g/mol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</si>
</sst>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sz val="10"/>
      <color rgb="FFFFFFFF"/>
      <name val="Calibri"/>
    </font>
    <font>
      <b/>
      <sz val="10"/>
      <name val="Calibri"/>
    </font>
    <font>
      <sz val="10"/>
      <color rgb="FF1A5276"/>
      <name val="Calibri"/>
    </font>
    <font>
      <b/>
      <sz val="11"/>
      <color rgb="FFFFFFFF"/>
      <name val="Calibri"/>
    </font>
    <font>
      <i/>
      <sz val="10"/>
      <color rgb="FF1E8449"/>
      <name val="Calibri"/>
    </font>
    <font>
      <b/>
      <sz val="11"/>
      <name val="Calibri"/>
    </font>
    <font>
      <b/>
      <sz val="11"/>
      <color rgb="FF922B21"/>
      <name val="Calibri"/>
    </font>
    <font>
      <i/>
      <sz val="9"/>
      <color rgb="FF7F8C8D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5D6D7E"/>
      </patternFill>
    </fill>
    <fill>
      <patternFill patternType="solid">
        <fgColor rgb="FFEBF5FB"/>
      </patternFill>
    </fill>
    <fill>
      <patternFill patternType="solid">
        <fgColor rgb="FFEAFAF1"/>
      </patternFill>
    </fill>
    <fill>
      <patternFill patternType="solid">
        <fgColor rgb="FFFDEDEC"/>
      </patternFill>
    </fill>
  </fills>
  <borders count="4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1A5276"/>
      </bottom>
      <diagonal/>
    </border>
    <border>
      <left style="medium">
        <color rgb="FF2C3E50"/>
      </left>
      <right style="medium">
        <color rgb="FF2C3E50"/>
      </right>
      <top style="medium">
        <color rgb="FF2C3E50"/>
      </top>
      <bottom style="medium">
        <color rgb="FF2C3E50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164" fontId="4" fillId="4" borderId="3" xfId="0" applyNumberFormat="1" applyFont="1" applyFill="1" applyBorder="1" applyAlignment="1">
      <alignment horizontal="center" vertical="center" wrapText="1"/>
    </xf>
    <xf numFmtId="164" fontId="6" fillId="5" borderId="3" xfId="0" applyNumberFormat="1" applyFont="1" applyFill="1" applyBorder="1" applyAlignment="1">
      <alignment horizontal="center" vertical="center" wrapText="1"/>
    </xf>
    <xf numFmtId="165" fontId="6" fillId="5" borderId="3" xfId="0" applyNumberFormat="1" applyFont="1" applyFill="1" applyBorder="1" applyAlignment="1">
      <alignment horizontal="center" vertical="center" wrapText="1"/>
    </xf>
    <xf numFmtId="2" fontId="6" fillId="5" borderId="3" xfId="0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5" fillId="3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pane ySplit="7" topLeftCell="A8" activePane="bottomLeft" state="frozen"/>
      <selection pane="bottomLeft" activeCell="I13" sqref="I13"/>
    </sheetView>
  </sheetViews>
  <sheetFormatPr defaultRowHeight="14.5" x14ac:dyDescent="0.35"/>
  <cols>
    <col min="1" max="1" width="32" customWidth="1"/>
    <col min="2" max="3" width="18" customWidth="1"/>
    <col min="4" max="4" width="6" customWidth="1"/>
  </cols>
  <sheetData>
    <row r="1" spans="1:3" ht="30" customHeight="1" x14ac:dyDescent="0.35">
      <c r="A1" s="11" t="s">
        <v>0</v>
      </c>
      <c r="B1" s="12"/>
      <c r="C1" s="12"/>
    </row>
    <row r="2" spans="1:3" ht="20" customHeight="1" x14ac:dyDescent="0.35">
      <c r="A2" s="16" t="s">
        <v>1</v>
      </c>
      <c r="B2" s="12"/>
      <c r="C2" s="12"/>
    </row>
    <row r="4" spans="1:3" ht="22" customHeight="1" x14ac:dyDescent="0.35">
      <c r="A4" s="1" t="s">
        <v>2</v>
      </c>
      <c r="B4" s="2">
        <v>379</v>
      </c>
    </row>
    <row r="6" spans="1:3" ht="22" customHeight="1" x14ac:dyDescent="0.35">
      <c r="A6" s="13" t="s">
        <v>3</v>
      </c>
      <c r="B6" s="12"/>
      <c r="C6" s="12"/>
    </row>
    <row r="7" spans="1:3" ht="36" customHeight="1" x14ac:dyDescent="0.35">
      <c r="A7" s="3" t="s">
        <v>4</v>
      </c>
      <c r="B7" s="3" t="s">
        <v>5</v>
      </c>
      <c r="C7" s="3" t="s">
        <v>6</v>
      </c>
    </row>
    <row r="8" spans="1:3" ht="22" customHeight="1" x14ac:dyDescent="0.35">
      <c r="A8" s="4" t="s">
        <v>7</v>
      </c>
      <c r="B8" s="5">
        <v>0.41599999999999998</v>
      </c>
      <c r="C8" s="5">
        <v>0.41699999999999998</v>
      </c>
    </row>
    <row r="9" spans="1:3" ht="22" customHeight="1" x14ac:dyDescent="0.35">
      <c r="A9" s="4" t="s">
        <v>8</v>
      </c>
      <c r="B9" s="5">
        <v>0.46899999999999997</v>
      </c>
      <c r="C9" s="5">
        <v>0.72799999999999998</v>
      </c>
    </row>
    <row r="10" spans="1:3" ht="22" customHeight="1" x14ac:dyDescent="0.35">
      <c r="A10" s="4" t="s">
        <v>9</v>
      </c>
      <c r="B10" s="5">
        <v>1.405</v>
      </c>
      <c r="C10" s="5">
        <v>1.663</v>
      </c>
    </row>
    <row r="12" spans="1:3" ht="22" customHeight="1" x14ac:dyDescent="0.35">
      <c r="A12" s="13" t="s">
        <v>10</v>
      </c>
      <c r="B12" s="12"/>
      <c r="C12" s="12"/>
    </row>
    <row r="13" spans="1:3" ht="36" customHeight="1" x14ac:dyDescent="0.35">
      <c r="A13" s="3" t="s">
        <v>11</v>
      </c>
      <c r="B13" s="3" t="s">
        <v>5</v>
      </c>
      <c r="C13" s="3" t="s">
        <v>6</v>
      </c>
    </row>
    <row r="14" spans="1:3" ht="22" customHeight="1" x14ac:dyDescent="0.35">
      <c r="A14" s="4" t="s">
        <v>12</v>
      </c>
      <c r="B14" s="6">
        <f>B10-B9</f>
        <v>0.93600000000000005</v>
      </c>
      <c r="C14" s="6">
        <f>C10-C9</f>
        <v>0.93500000000000005</v>
      </c>
    </row>
    <row r="15" spans="1:3" ht="22" customHeight="1" x14ac:dyDescent="0.35">
      <c r="A15" s="4" t="s">
        <v>13</v>
      </c>
      <c r="B15" s="7">
        <f>B14/143.32</f>
        <v>6.5308400781468054E-3</v>
      </c>
      <c r="C15" s="7">
        <f>C14/143.32</f>
        <v>6.5238626849009216E-3</v>
      </c>
    </row>
    <row r="16" spans="1:3" ht="22" customHeight="1" x14ac:dyDescent="0.35">
      <c r="A16" s="4" t="s">
        <v>14</v>
      </c>
      <c r="B16" s="6">
        <f>B15*35.45</f>
        <v>0.23151828077030426</v>
      </c>
      <c r="C16" s="6">
        <f>C15*35.45</f>
        <v>0.23127093217973768</v>
      </c>
    </row>
    <row r="17" spans="1:3" ht="22" customHeight="1" x14ac:dyDescent="0.35">
      <c r="A17" s="4" t="s">
        <v>15</v>
      </c>
      <c r="B17" s="8">
        <f>B16/B8*100</f>
        <v>55.65343287747698</v>
      </c>
      <c r="C17" s="8">
        <f>C16/C8*100</f>
        <v>55.460655198977861</v>
      </c>
    </row>
    <row r="19" spans="1:3" ht="26" customHeight="1" x14ac:dyDescent="0.35">
      <c r="A19" s="15" t="s">
        <v>16</v>
      </c>
      <c r="B19" s="10">
        <f>AVERAGE(B17:C17)</f>
        <v>55.557044038227417</v>
      </c>
      <c r="C19" s="9" t="s">
        <v>17</v>
      </c>
    </row>
    <row r="21" spans="1:3" ht="18" customHeight="1" x14ac:dyDescent="0.35">
      <c r="A21" s="14" t="s">
        <v>18</v>
      </c>
      <c r="B21" s="12"/>
      <c r="C21" s="12"/>
    </row>
  </sheetData>
  <mergeCells count="6">
    <mergeCell ref="A1:C1"/>
    <mergeCell ref="A6:C6"/>
    <mergeCell ref="A21:C21"/>
    <mergeCell ref="A12:C12"/>
    <mergeCell ref="A19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 9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Dreyer</cp:lastModifiedBy>
  <dcterms:created xsi:type="dcterms:W3CDTF">2026-03-23T19:25:26Z</dcterms:created>
  <dcterms:modified xsi:type="dcterms:W3CDTF">2026-03-25T19:40:45Z</dcterms:modified>
</cp:coreProperties>
</file>