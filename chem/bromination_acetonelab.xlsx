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aaf0ddacaed4ea8/Documents/CODE/CODE SUMMARY/chem/"/>
    </mc:Choice>
  </mc:AlternateContent>
  <xr:revisionPtr revIDLastSave="1" documentId="8_{5A99D699-1177-4E41-99A6-D424D317BC56}" xr6:coauthVersionLast="47" xr6:coauthVersionMax="47" xr10:uidLastSave="{9B89EB22-9C67-49C7-A746-8CEE113A16DD}"/>
  <bookViews>
    <workbookView xWindow="-110" yWindow="-110" windowWidth="22180" windowHeight="14140" tabRatio="500" xr2:uid="{00000000-000D-0000-FFFF-FFFF00000000}"/>
  </bookViews>
  <sheets>
    <sheet name="Bromination of Aceto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6" i="1" l="1"/>
  <c r="E25" i="1"/>
  <c r="E24" i="1"/>
  <c r="E23" i="1"/>
  <c r="E22" i="1"/>
  <c r="E21" i="1"/>
  <c r="J15" i="1"/>
  <c r="K15" i="1" s="1"/>
  <c r="C26" i="1" s="1"/>
  <c r="D26" i="1" s="1"/>
  <c r="I15" i="1"/>
  <c r="H15" i="1"/>
  <c r="K14" i="1"/>
  <c r="C25" i="1" s="1"/>
  <c r="D25" i="1" s="1"/>
  <c r="J14" i="1"/>
  <c r="I14" i="1"/>
  <c r="H14" i="1"/>
  <c r="J13" i="1"/>
  <c r="K13" i="1" s="1"/>
  <c r="I13" i="1"/>
  <c r="H13" i="1"/>
  <c r="J12" i="1"/>
  <c r="K12" i="1" s="1"/>
  <c r="C23" i="1" s="1"/>
  <c r="D23" i="1" s="1"/>
  <c r="I12" i="1"/>
  <c r="H12" i="1"/>
  <c r="J11" i="1"/>
  <c r="K11" i="1" s="1"/>
  <c r="C22" i="1" s="1"/>
  <c r="D22" i="1" s="1"/>
  <c r="I11" i="1"/>
  <c r="H11" i="1"/>
  <c r="J10" i="1"/>
  <c r="K10" i="1" s="1"/>
  <c r="C21" i="1" s="1"/>
  <c r="D21" i="1" s="1"/>
  <c r="I10" i="1"/>
  <c r="H10" i="1"/>
  <c r="B21" i="1" l="1"/>
  <c r="B24" i="1"/>
  <c r="C24" i="1"/>
  <c r="D24" i="1" s="1"/>
  <c r="B23" i="1"/>
  <c r="B22" i="1"/>
  <c r="B25" i="1"/>
  <c r="B26" i="1"/>
</calcChain>
</file>

<file path=xl/sharedStrings.xml><?xml version="1.0" encoding="utf-8"?>
<sst xmlns="http://schemas.openxmlformats.org/spreadsheetml/2006/main" count="28" uniqueCount="27">
  <si>
    <t>Data Sheet for Bromination of Acetone</t>
  </si>
  <si>
    <t>Stock Concentrations (Assumptions — blue cells are inputs)</t>
  </si>
  <si>
    <t>Acetone [C₃H₆O] stock (mol/L):</t>
  </si>
  <si>
    <t>HCl stock (mol/L):</t>
  </si>
  <si>
    <t>Br₂ stock (mol/L):</t>
  </si>
  <si>
    <t>Table 1: Experimental Data  (yellow cells = enter your ΔTime values)</t>
  </si>
  <si>
    <t>#</t>
  </si>
  <si>
    <t>T
(°C)</t>
  </si>
  <si>
    <t>Vol. Acetone
(mL)</t>
  </si>
  <si>
    <t>Vol. HCl
(mL)</t>
  </si>
  <si>
    <t>Vol. Br₂
(mL)</t>
  </si>
  <si>
    <t>Vol. H₂O
(mL)</t>
  </si>
  <si>
    <t>ΔTime
(s)</t>
  </si>
  <si>
    <t>[C₃H₆O]
(mol/L)</t>
  </si>
  <si>
    <t>[HCl]
(mol/L)</t>
  </si>
  <si>
    <t>[Br₂]
(mol/L)</t>
  </si>
  <si>
    <t>Rate =
−[Br₂]/Δtime
(mol/L·s)</t>
  </si>
  <si>
    <t>Reaction Orders (update after determining from rate ratios):</t>
  </si>
  <si>
    <t>a (acetone order):</t>
  </si>
  <si>
    <t>b (Br₂ order):</t>
  </si>
  <si>
    <t>c (HCl order):</t>
  </si>
  <si>
    <t>Table 2: Rate Analysis</t>
  </si>
  <si>
    <t>Rateₙ/Rate₁
(1 sig fig)</t>
  </si>
  <si>
    <t>k = −Rate /
([acetone]ᵃ·[Br₂]ᵇ·[HCl]ᶜ)</t>
  </si>
  <si>
    <t>ln k</t>
  </si>
  <si>
    <t>1/T (1/K)</t>
  </si>
  <si>
    <t>Notes:  Blue = given/pre-filled values  |  Yellow = enter measured ΔTime (s) from experiment  |  For trials 5 &amp; 6 (Cold/Hot), replace text with numeric temperature in °C to compute 1/T.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</si>
</sst>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00"/>
    <numFmt numFmtId="167" formatCode="0.000000"/>
    <numFmt numFmtId="168" formatCode="0.0"/>
  </numFmts>
  <fonts count="6" x14ac:knownFonts="1">
    <font>
      <sz val="11"/>
      <color theme="1"/>
      <name val="Calibri"/>
      <family val="2"/>
      <charset val="1"/>
    </font>
    <font>
      <b/>
      <i/>
      <sz val="12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8"/>
      <color rgb="FF555555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ACD"/>
        <bgColor rgb="FFFFFFFF"/>
      </patternFill>
    </fill>
    <fill>
      <patternFill patternType="solid">
        <fgColor rgb="FFBDD7EE"/>
        <bgColor rgb="FF99CCFF"/>
      </patternFill>
    </fill>
    <fill>
      <patternFill patternType="solid">
        <fgColor rgb="FFFFFF99"/>
        <bgColor rgb="FFFFFA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5" fillId="0" borderId="0" xfId="0" applyFont="1" applyAlignment="1">
      <alignment wrapText="1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164" fontId="4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1" fontId="3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67" fontId="3" fillId="0" borderId="1" xfId="0" applyNumberFormat="1" applyFont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ACD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4912464-A5CA-4FFB-89CF-399C0247D6EC}">
  <we:reference id="wa200009404" version="1.0.0.8" store="en-U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="70" zoomScaleNormal="100" workbookViewId="0">
      <selection activeCell="R12" sqref="R12"/>
    </sheetView>
  </sheetViews>
  <sheetFormatPr defaultColWidth="8.6328125" defaultRowHeight="14.5" x14ac:dyDescent="0.35"/>
  <cols>
    <col min="1" max="1" width="4" customWidth="1"/>
    <col min="2" max="2" width="8" customWidth="1"/>
    <col min="3" max="3" width="28" customWidth="1"/>
    <col min="4" max="6" width="12" customWidth="1"/>
    <col min="7" max="7" width="10" customWidth="1"/>
    <col min="8" max="8" width="14" customWidth="1"/>
    <col min="9" max="10" width="12" customWidth="1"/>
    <col min="11" max="11" width="16" customWidth="1"/>
  </cols>
  <sheetData>
    <row r="1" spans="1:11" ht="21.75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5">
      <c r="H2" s="17"/>
    </row>
    <row r="3" spans="1:11" x14ac:dyDescent="0.35">
      <c r="A3" s="3" t="s">
        <v>1</v>
      </c>
      <c r="B3" s="3"/>
      <c r="C3" s="3"/>
      <c r="D3" s="3"/>
      <c r="H3" s="17"/>
    </row>
    <row r="4" spans="1:11" x14ac:dyDescent="0.35">
      <c r="B4" s="5" t="s">
        <v>2</v>
      </c>
      <c r="C4" s="6">
        <v>4</v>
      </c>
      <c r="H4" s="17"/>
    </row>
    <row r="5" spans="1:11" x14ac:dyDescent="0.35">
      <c r="B5" s="5" t="s">
        <v>3</v>
      </c>
      <c r="C5" s="6">
        <v>1</v>
      </c>
      <c r="H5" s="17"/>
    </row>
    <row r="6" spans="1:11" x14ac:dyDescent="0.35">
      <c r="B6" s="5" t="s">
        <v>4</v>
      </c>
      <c r="C6" s="6">
        <v>0.02</v>
      </c>
      <c r="H6" s="17"/>
    </row>
    <row r="7" spans="1:11" x14ac:dyDescent="0.35">
      <c r="H7" s="17"/>
    </row>
    <row r="8" spans="1:11" x14ac:dyDescent="0.3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ht="48" customHeight="1" x14ac:dyDescent="0.35">
      <c r="A9" s="7" t="s">
        <v>6</v>
      </c>
      <c r="B9" s="7" t="s">
        <v>7</v>
      </c>
      <c r="C9" s="7" t="s">
        <v>8</v>
      </c>
      <c r="D9" s="7" t="s">
        <v>9</v>
      </c>
      <c r="E9" s="7" t="s">
        <v>10</v>
      </c>
      <c r="F9" s="7" t="s">
        <v>11</v>
      </c>
      <c r="G9" s="7" t="s">
        <v>12</v>
      </c>
      <c r="H9" s="7" t="s">
        <v>13</v>
      </c>
      <c r="I9" s="7" t="s">
        <v>14</v>
      </c>
      <c r="J9" s="7" t="s">
        <v>15</v>
      </c>
      <c r="K9" s="7" t="s">
        <v>16</v>
      </c>
    </row>
    <row r="10" spans="1:11" ht="18" customHeight="1" x14ac:dyDescent="0.35">
      <c r="A10" s="8">
        <v>1</v>
      </c>
      <c r="B10" s="16">
        <v>21</v>
      </c>
      <c r="C10" s="9">
        <v>5</v>
      </c>
      <c r="D10" s="9">
        <v>5</v>
      </c>
      <c r="E10" s="9">
        <v>5</v>
      </c>
      <c r="F10" s="9">
        <v>10</v>
      </c>
      <c r="G10" s="10">
        <v>1335.2</v>
      </c>
      <c r="H10" s="11">
        <f t="shared" ref="H10:H15" si="0">(C10*$C$4)/(C10+D10+E10+F10)</f>
        <v>0.8</v>
      </c>
      <c r="I10" s="11">
        <f t="shared" ref="I10:I15" si="1">(D10*$C$5)/(C10+D10+E10+F10)</f>
        <v>0.2</v>
      </c>
      <c r="J10" s="12">
        <f t="shared" ref="J10:J15" si="2">(E10*$C$6)/(C10+D10+E10+F10)</f>
        <v>4.0000000000000001E-3</v>
      </c>
      <c r="K10" s="13">
        <f t="shared" ref="K10:K15" si="3">IF(G10="","",J10/G10)</f>
        <v>2.9958058717795087E-6</v>
      </c>
    </row>
    <row r="11" spans="1:11" ht="18" customHeight="1" x14ac:dyDescent="0.35">
      <c r="A11" s="8">
        <v>2</v>
      </c>
      <c r="B11" s="16">
        <v>21</v>
      </c>
      <c r="C11" s="9">
        <v>10</v>
      </c>
      <c r="D11" s="9">
        <v>5</v>
      </c>
      <c r="E11" s="9">
        <v>5</v>
      </c>
      <c r="F11" s="9">
        <v>5</v>
      </c>
      <c r="G11" s="10">
        <v>664.2</v>
      </c>
      <c r="H11" s="11">
        <f t="shared" si="0"/>
        <v>1.6</v>
      </c>
      <c r="I11" s="11">
        <f t="shared" si="1"/>
        <v>0.2</v>
      </c>
      <c r="J11" s="12">
        <f t="shared" si="2"/>
        <v>4.0000000000000001E-3</v>
      </c>
      <c r="K11" s="13">
        <f t="shared" si="3"/>
        <v>6.022282445046672E-6</v>
      </c>
    </row>
    <row r="12" spans="1:11" ht="18" customHeight="1" x14ac:dyDescent="0.35">
      <c r="A12" s="8">
        <v>3</v>
      </c>
      <c r="B12" s="16">
        <v>21</v>
      </c>
      <c r="C12" s="9">
        <v>5</v>
      </c>
      <c r="D12" s="9">
        <v>10</v>
      </c>
      <c r="E12" s="9">
        <v>5</v>
      </c>
      <c r="F12" s="9">
        <v>5</v>
      </c>
      <c r="G12" s="10">
        <v>678.5</v>
      </c>
      <c r="H12" s="11">
        <f t="shared" si="0"/>
        <v>0.8</v>
      </c>
      <c r="I12" s="11">
        <f t="shared" si="1"/>
        <v>0.4</v>
      </c>
      <c r="J12" s="12">
        <f t="shared" si="2"/>
        <v>4.0000000000000001E-3</v>
      </c>
      <c r="K12" s="13">
        <f t="shared" si="3"/>
        <v>5.8953574060427415E-6</v>
      </c>
    </row>
    <row r="13" spans="1:11" ht="18" customHeight="1" x14ac:dyDescent="0.35">
      <c r="A13" s="8">
        <v>4</v>
      </c>
      <c r="B13" s="16">
        <v>21</v>
      </c>
      <c r="C13" s="9">
        <v>5</v>
      </c>
      <c r="D13" s="9">
        <v>5</v>
      </c>
      <c r="E13" s="9">
        <v>10</v>
      </c>
      <c r="F13" s="9">
        <v>5</v>
      </c>
      <c r="G13" s="10">
        <v>2653.9</v>
      </c>
      <c r="H13" s="11">
        <f t="shared" si="0"/>
        <v>0.8</v>
      </c>
      <c r="I13" s="11">
        <f t="shared" si="1"/>
        <v>0.2</v>
      </c>
      <c r="J13" s="12">
        <f t="shared" si="2"/>
        <v>8.0000000000000002E-3</v>
      </c>
      <c r="K13" s="13">
        <f t="shared" si="3"/>
        <v>3.0144315912430762E-6</v>
      </c>
    </row>
    <row r="14" spans="1:11" ht="18" customHeight="1" x14ac:dyDescent="0.35">
      <c r="A14" s="8">
        <v>5</v>
      </c>
      <c r="B14" s="16">
        <v>9</v>
      </c>
      <c r="C14" s="9">
        <v>5</v>
      </c>
      <c r="D14" s="9">
        <v>10</v>
      </c>
      <c r="E14" s="9">
        <v>5</v>
      </c>
      <c r="F14" s="9">
        <v>5</v>
      </c>
      <c r="G14" s="10">
        <v>2703.3</v>
      </c>
      <c r="H14" s="11">
        <f t="shared" si="0"/>
        <v>0.8</v>
      </c>
      <c r="I14" s="11">
        <f t="shared" si="1"/>
        <v>0.4</v>
      </c>
      <c r="J14" s="12">
        <f t="shared" si="2"/>
        <v>4.0000000000000001E-3</v>
      </c>
      <c r="K14" s="13">
        <f t="shared" si="3"/>
        <v>1.4796729922687086E-6</v>
      </c>
    </row>
    <row r="15" spans="1:11" ht="18" customHeight="1" x14ac:dyDescent="0.35">
      <c r="A15" s="8">
        <v>6</v>
      </c>
      <c r="B15" s="16">
        <v>40</v>
      </c>
      <c r="C15" s="9">
        <v>5</v>
      </c>
      <c r="D15" s="9">
        <v>10</v>
      </c>
      <c r="E15" s="9">
        <v>5</v>
      </c>
      <c r="F15" s="9">
        <v>5</v>
      </c>
      <c r="G15" s="10">
        <v>96.2</v>
      </c>
      <c r="H15" s="11">
        <f t="shared" si="0"/>
        <v>0.8</v>
      </c>
      <c r="I15" s="11">
        <f t="shared" si="1"/>
        <v>0.4</v>
      </c>
      <c r="J15" s="12">
        <f t="shared" si="2"/>
        <v>4.0000000000000001E-3</v>
      </c>
      <c r="K15" s="13">
        <f t="shared" si="3"/>
        <v>4.158004158004158E-5</v>
      </c>
    </row>
    <row r="17" spans="1:11" x14ac:dyDescent="0.35">
      <c r="A17" s="3" t="s">
        <v>17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5">
      <c r="B18" s="5" t="s">
        <v>18</v>
      </c>
      <c r="C18" s="9">
        <v>1</v>
      </c>
      <c r="D18" s="5" t="s">
        <v>19</v>
      </c>
      <c r="E18" s="9">
        <v>0</v>
      </c>
      <c r="F18" s="5" t="s">
        <v>20</v>
      </c>
      <c r="G18" s="9">
        <v>1</v>
      </c>
    </row>
    <row r="19" spans="1:11" x14ac:dyDescent="0.35">
      <c r="A19" s="2" t="s">
        <v>21</v>
      </c>
      <c r="B19" s="2"/>
      <c r="C19" s="2"/>
      <c r="D19" s="2"/>
      <c r="E19" s="2"/>
    </row>
    <row r="20" spans="1:11" ht="48" customHeight="1" x14ac:dyDescent="0.35">
      <c r="A20" s="7" t="s">
        <v>6</v>
      </c>
      <c r="B20" s="7" t="s">
        <v>22</v>
      </c>
      <c r="C20" s="7" t="s">
        <v>23</v>
      </c>
      <c r="D20" s="7" t="s">
        <v>24</v>
      </c>
      <c r="E20" s="7" t="s">
        <v>25</v>
      </c>
    </row>
    <row r="21" spans="1:11" ht="18" customHeight="1" x14ac:dyDescent="0.35">
      <c r="A21" s="8">
        <v>1</v>
      </c>
      <c r="B21" s="14">
        <f>IF(OR(K10="",K10=""),"",ROUND(K10/K10,0))</f>
        <v>1</v>
      </c>
      <c r="C21" s="13">
        <f t="shared" ref="C21:C26" si="4">IF(K10="","",K10/((H10^$C$18)*(J10^$E$18)*(I10^$G$18)))</f>
        <v>1.8723786698621926E-5</v>
      </c>
      <c r="D21" s="11">
        <f t="shared" ref="D21:D26" si="5">IF(C21="","",LN(C21))</f>
        <v>-10.885715826461562</v>
      </c>
      <c r="E21" s="15">
        <f t="shared" ref="E21:E26" si="6">IF(ISNUMBER(B10),1/(B10+273.15),"")</f>
        <v>3.3996260411354754E-3</v>
      </c>
    </row>
    <row r="22" spans="1:11" ht="18" customHeight="1" x14ac:dyDescent="0.35">
      <c r="A22" s="8">
        <v>2</v>
      </c>
      <c r="B22" s="14">
        <f>IF(OR(K11="",K10=""),"",ROUND(K11/K10,0))</f>
        <v>2</v>
      </c>
      <c r="C22" s="13">
        <f t="shared" si="4"/>
        <v>1.8819632640770846E-5</v>
      </c>
      <c r="D22" s="11">
        <f t="shared" si="5"/>
        <v>-10.880609943616529</v>
      </c>
      <c r="E22" s="15">
        <f t="shared" si="6"/>
        <v>3.3996260411354754E-3</v>
      </c>
    </row>
    <row r="23" spans="1:11" ht="18" customHeight="1" x14ac:dyDescent="0.35">
      <c r="A23" s="8">
        <v>3</v>
      </c>
      <c r="B23" s="14">
        <f>IF(OR(K12="",K10=""),"",ROUND(K12/K10,0))</f>
        <v>2</v>
      </c>
      <c r="C23" s="13">
        <f t="shared" si="4"/>
        <v>1.8422991893883564E-5</v>
      </c>
      <c r="D23" s="11">
        <f t="shared" si="5"/>
        <v>-10.901911113948806</v>
      </c>
      <c r="E23" s="15">
        <f t="shared" si="6"/>
        <v>3.3996260411354754E-3</v>
      </c>
    </row>
    <row r="24" spans="1:11" ht="18" customHeight="1" x14ac:dyDescent="0.35">
      <c r="A24" s="8">
        <v>4</v>
      </c>
      <c r="B24" s="14">
        <f>IF(OR(K13="",K10=""),"",ROUND(K13/K10,0))</f>
        <v>1</v>
      </c>
      <c r="C24" s="13">
        <f t="shared" si="4"/>
        <v>1.8840197445269223E-5</v>
      </c>
      <c r="D24" s="11">
        <f t="shared" si="5"/>
        <v>-10.879517808761141</v>
      </c>
      <c r="E24" s="15">
        <f t="shared" si="6"/>
        <v>3.3996260411354754E-3</v>
      </c>
    </row>
    <row r="25" spans="1:11" ht="18" customHeight="1" x14ac:dyDescent="0.35">
      <c r="A25" s="8">
        <v>5</v>
      </c>
      <c r="B25" s="14">
        <f>IF(OR(K14="",K10=""),"",ROUND(K14/K10,0))</f>
        <v>0</v>
      </c>
      <c r="C25" s="13">
        <f t="shared" si="4"/>
        <v>4.6239781008397136E-6</v>
      </c>
      <c r="D25" s="11">
        <f t="shared" si="5"/>
        <v>-12.284255162582983</v>
      </c>
      <c r="E25" s="15">
        <f t="shared" si="6"/>
        <v>3.5442140705298601E-3</v>
      </c>
    </row>
    <row r="26" spans="1:11" ht="18" customHeight="1" x14ac:dyDescent="0.35">
      <c r="A26" s="8">
        <v>6</v>
      </c>
      <c r="B26" s="14">
        <f>IF(OR(K15="",K10=""),"",ROUND(K15/K10,0))</f>
        <v>14</v>
      </c>
      <c r="C26" s="13">
        <f t="shared" si="4"/>
        <v>1.2993762993762992E-4</v>
      </c>
      <c r="D26" s="11">
        <f t="shared" si="5"/>
        <v>-8.9484559923455418</v>
      </c>
      <c r="E26" s="15">
        <f t="shared" si="6"/>
        <v>3.1933578157432542E-3</v>
      </c>
    </row>
    <row r="28" spans="1:11" ht="27.75" customHeight="1" x14ac:dyDescent="0.35">
      <c r="A28" s="1" t="s">
        <v>26</v>
      </c>
      <c r="B28" s="1"/>
      <c r="C28" s="1"/>
      <c r="D28" s="1"/>
      <c r="E28" s="1"/>
      <c r="F28" s="1"/>
      <c r="G28" s="1"/>
      <c r="H28" s="1"/>
      <c r="I28" s="1"/>
      <c r="J28" s="1"/>
      <c r="K28" s="1"/>
    </row>
  </sheetData>
  <mergeCells count="6">
    <mergeCell ref="A28:K28"/>
    <mergeCell ref="A1:K1"/>
    <mergeCell ref="A3:D3"/>
    <mergeCell ref="A8:K8"/>
    <mergeCell ref="A17:K17"/>
    <mergeCell ref="A19:E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Bromination of Acetone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Dreyer</cp:lastModifiedBy>
  <cp:revision>0</cp:revision>
  <dcterms:created xsi:type="dcterms:W3CDTF">2026-03-16T21:42:51Z</dcterms:created>
  <dcterms:modified xsi:type="dcterms:W3CDTF">2026-03-26T19:36:28Z</dcterms:modified>
  <dc:language>en-US</dc:language>
</cp:coreProperties>
</file>