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af0ddacaed4ea8/Documents/CODE/COMP 166/chem lab 2/"/>
    </mc:Choice>
  </mc:AlternateContent>
  <xr:revisionPtr revIDLastSave="0" documentId="8_{F2A9B40C-5548-4A16-9E02-4748A507F94A}" xr6:coauthVersionLast="47" xr6:coauthVersionMax="47" xr10:uidLastSave="{00000000-0000-0000-0000-000000000000}"/>
  <bookViews>
    <workbookView xWindow="5580" yWindow="390" windowWidth="16380" windowHeight="10150" xr2:uid="{7B43E9D5-8273-497D-82BD-4BD84CF2EB76}"/>
  </bookViews>
  <sheets>
    <sheet name="Lab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</calcChain>
</file>

<file path=xl/sharedStrings.xml><?xml version="1.0" encoding="utf-8"?>
<sst xmlns="http://schemas.openxmlformats.org/spreadsheetml/2006/main" count="90" uniqueCount="89">
  <si>
    <t>Step</t>
  </si>
  <si>
    <t>Input (enter values)</t>
  </si>
  <si>
    <t>Calculation (result)</t>
  </si>
  <si>
    <t>Formula shown</t>
  </si>
  <si>
    <t>Explanation</t>
  </si>
  <si>
    <t>Constants</t>
  </si>
  <si>
    <t>Molar mass Cu (g/mol)</t>
  </si>
  <si>
    <t>Used for moles of Cu</t>
  </si>
  <si>
    <t>Molar mass S (g/mol)</t>
  </si>
  <si>
    <t>Used for moles of S</t>
  </si>
  <si>
    <t>Molar mass Br (g/mol)</t>
  </si>
  <si>
    <t>Used for Br2 and Br</t>
  </si>
  <si>
    <t>Molar mass CuBr (g/mol)</t>
  </si>
  <si>
    <t>Used for moles of CuBr</t>
  </si>
  <si>
    <t>Density of Cu (g/cm^3)</t>
  </si>
  <si>
    <t>Given in lab sheet</t>
  </si>
  <si>
    <t>Case 1: Copper and sulfur</t>
  </si>
  <si>
    <t>Diameter of copper wire (cm)</t>
  </si>
  <si>
    <t>Measure with calipers</t>
  </si>
  <si>
    <t>Mass of empty crucible (g)</t>
  </si>
  <si>
    <t>Weigh empty crucible</t>
  </si>
  <si>
    <t>Mass of crucible plus copper (g)</t>
  </si>
  <si>
    <t>Weigh after adding Cu</t>
  </si>
  <si>
    <t>Mass of crucible and product after 1st heating (g)</t>
  </si>
  <si>
    <t>Weigh after first heating</t>
  </si>
  <si>
    <t>Mass of crucible and product after 2nd heating (g)</t>
  </si>
  <si>
    <t>Weigh after second heating</t>
  </si>
  <si>
    <t>Mass of crucible and product after 3rd heating (g)</t>
  </si>
  <si>
    <t>Optional, if needed</t>
  </si>
  <si>
    <t>Diameter of product wire (cm)</t>
  </si>
  <si>
    <t>Measure final product diameter</t>
  </si>
  <si>
    <t>Final mass of crucible + product (g)</t>
  </si>
  <si>
    <t>Use last nonblank heating mass</t>
  </si>
  <si>
    <t>Mass of copper (g)</t>
  </si>
  <si>
    <t>Crucible+Cu minus empty crucible</t>
  </si>
  <si>
    <t>Mass of product (g)</t>
  </si>
  <si>
    <t>Final crucible+product minus empty crucible</t>
  </si>
  <si>
    <t>Mass of sulfur that combined (g)</t>
  </si>
  <si>
    <t>Product mass minus Cu mass</t>
  </si>
  <si>
    <t>Moles of Cu (mol)</t>
  </si>
  <si>
    <t>Mass Cu divided by molar mass Cu</t>
  </si>
  <si>
    <t>Moles of S (mol)</t>
  </si>
  <si>
    <t>Mass S divided by molar mass S</t>
  </si>
  <si>
    <t>Ratio n(Cu)/n(S)</t>
  </si>
  <si>
    <t>Mole ratio for Cu_xS</t>
  </si>
  <si>
    <t>Empirical formula Cu_xS (x rounded 1 sig fig)</t>
  </si>
  <si>
    <t>Round ratio to 1 sig fig</t>
  </si>
  <si>
    <t>Volume of Cu (cm^3)</t>
  </si>
  <si>
    <t>Volume = mass/density of Cu</t>
  </si>
  <si>
    <t>Area of Cu wire (cm^2)</t>
  </si>
  <si>
    <t>Cross-sectional area from diameter</t>
  </si>
  <si>
    <t>Length of Cu wire (cm)</t>
  </si>
  <si>
    <t>Length = volume/area</t>
  </si>
  <si>
    <t>Area of product wire (cm^2)</t>
  </si>
  <si>
    <t>Cross-sectional area from product diameter</t>
  </si>
  <si>
    <t>Volume of product (cm^3)</t>
  </si>
  <si>
    <t>Volume = area * length</t>
  </si>
  <si>
    <t>Density of product (g/cm^3)</t>
  </si>
  <si>
    <t>Density = mass/volume</t>
  </si>
  <si>
    <t>Case 2: Decomposition of CuBrx</t>
  </si>
  <si>
    <t>Mass of empty flask (g)</t>
  </si>
  <si>
    <t>Weigh clean, dry flask</t>
  </si>
  <si>
    <t>Mass of flask plus copper bromide (g)</t>
  </si>
  <si>
    <t>Weigh after adding CuBrx</t>
  </si>
  <si>
    <t>Mass of flask plus decomposed CuBr 1st weighing (g)</t>
  </si>
  <si>
    <t>Weigh after gentle heating</t>
  </si>
  <si>
    <t>Mass of flask plus decomposed CuBr 2nd weighing (g)</t>
  </si>
  <si>
    <t>Repeat heating to constant mass</t>
  </si>
  <si>
    <t>Mass of flask plus decomposed CuBr 3rd weighing (g)</t>
  </si>
  <si>
    <t>Final mass of flask + decomposed CuBr (g)</t>
  </si>
  <si>
    <t>Use last nonblank decomposed mass</t>
  </si>
  <si>
    <t>Mass of CuBrx sample (g)</t>
  </si>
  <si>
    <t>Initial mass minus empty flask</t>
  </si>
  <si>
    <t>Mass of decomposed CuBr (g)</t>
  </si>
  <si>
    <t>Final mass minus empty flask</t>
  </si>
  <si>
    <t>Mass of Br2 released (g)</t>
  </si>
  <si>
    <t>Mass loss = Br2 released</t>
  </si>
  <si>
    <t>Moles of CuBr (mol)</t>
  </si>
  <si>
    <t>Moles of CuBr from final mass</t>
  </si>
  <si>
    <t>Moles of Br2 (mol)</t>
  </si>
  <si>
    <t>Br2 molar mass = 2*Br</t>
  </si>
  <si>
    <t>Moles of Cu in CuBrx (mol)</t>
  </si>
  <si>
    <t>1 mol Cu per mol CuBr</t>
  </si>
  <si>
    <t>Moles of Br in CuBrx (mol)</t>
  </si>
  <si>
    <t>Br in CuBr + Br in Br2</t>
  </si>
  <si>
    <t>Ratio n(Cu)/n(Br)</t>
  </si>
  <si>
    <t>Mole ratio for CuBrx</t>
  </si>
  <si>
    <t>Empirical formula CuBrx (x rounded 1 sig fig)</t>
  </si>
  <si>
    <t>x = n(Br)/n(Cu)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</si>
</sst>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8C97-F221-4032-9BA7-FA229DEA0DCD}">
  <dimension ref="A1:E47"/>
  <sheetViews>
    <sheetView tabSelected="1" workbookViewId="0"/>
  </sheetViews>
  <sheetFormatPr defaultRowHeight="14.5" x14ac:dyDescent="0.35"/>
  <cols>
    <col min="1" max="1" width="48.6328125" customWidth="1"/>
    <col min="2" max="2" width="22.6328125" customWidth="1"/>
    <col min="3" max="3" width="26.6328125" customWidth="1"/>
    <col min="4" max="4" width="32.6328125" customWidth="1"/>
    <col min="5" max="5" width="38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35">
      <c r="A2" s="2" t="s">
        <v>5</v>
      </c>
      <c r="B2" s="3"/>
      <c r="C2" s="3"/>
      <c r="D2" s="3"/>
      <c r="E2" s="3"/>
    </row>
    <row r="3" spans="1:5" x14ac:dyDescent="0.35">
      <c r="A3" s="3" t="s">
        <v>6</v>
      </c>
      <c r="B3" s="3">
        <v>63.545999999999999</v>
      </c>
      <c r="C3" s="3"/>
      <c r="D3" s="3"/>
      <c r="E3" s="3" t="s">
        <v>7</v>
      </c>
    </row>
    <row r="4" spans="1:5" x14ac:dyDescent="0.35">
      <c r="A4" s="3" t="s">
        <v>8</v>
      </c>
      <c r="B4" s="3">
        <v>32.064999999999998</v>
      </c>
      <c r="C4" s="3"/>
      <c r="D4" s="3"/>
      <c r="E4" s="3" t="s">
        <v>9</v>
      </c>
    </row>
    <row r="5" spans="1:5" x14ac:dyDescent="0.35">
      <c r="A5" s="3" t="s">
        <v>10</v>
      </c>
      <c r="B5" s="3">
        <v>79.903999999999996</v>
      </c>
      <c r="C5" s="3"/>
      <c r="D5" s="3"/>
      <c r="E5" s="3" t="s">
        <v>11</v>
      </c>
    </row>
    <row r="6" spans="1:5" x14ac:dyDescent="0.35">
      <c r="A6" s="3" t="s">
        <v>12</v>
      </c>
      <c r="B6" s="3">
        <v>143.44999999999999</v>
      </c>
      <c r="C6" s="3"/>
      <c r="D6" s="3"/>
      <c r="E6" s="3" t="s">
        <v>13</v>
      </c>
    </row>
    <row r="7" spans="1:5" x14ac:dyDescent="0.35">
      <c r="A7" s="3" t="s">
        <v>14</v>
      </c>
      <c r="B7" s="3">
        <v>8.9</v>
      </c>
      <c r="C7" s="3"/>
      <c r="D7" s="3"/>
      <c r="E7" s="3" t="s">
        <v>15</v>
      </c>
    </row>
    <row r="8" spans="1:5" x14ac:dyDescent="0.35">
      <c r="A8" s="3"/>
      <c r="B8" s="3"/>
      <c r="C8" s="3"/>
      <c r="D8" s="3"/>
      <c r="E8" s="3"/>
    </row>
    <row r="9" spans="1:5" ht="16" x14ac:dyDescent="0.35">
      <c r="A9" s="2" t="s">
        <v>16</v>
      </c>
      <c r="B9" s="3"/>
      <c r="C9" s="3"/>
      <c r="D9" s="3"/>
      <c r="E9" s="3"/>
    </row>
    <row r="10" spans="1:5" x14ac:dyDescent="0.35">
      <c r="A10" s="3" t="s">
        <v>17</v>
      </c>
      <c r="B10" s="3"/>
      <c r="C10" s="3"/>
      <c r="D10" s="3"/>
      <c r="E10" s="3" t="s">
        <v>18</v>
      </c>
    </row>
    <row r="11" spans="1:5" x14ac:dyDescent="0.35">
      <c r="A11" s="3" t="s">
        <v>19</v>
      </c>
      <c r="B11" s="3"/>
      <c r="C11" s="3"/>
      <c r="D11" s="3"/>
      <c r="E11" s="3" t="s">
        <v>20</v>
      </c>
    </row>
    <row r="12" spans="1:5" x14ac:dyDescent="0.35">
      <c r="A12" s="3" t="s">
        <v>21</v>
      </c>
      <c r="B12" s="3"/>
      <c r="C12" s="3"/>
      <c r="D12" s="3"/>
      <c r="E12" s="3" t="s">
        <v>22</v>
      </c>
    </row>
    <row r="13" spans="1:5" x14ac:dyDescent="0.35">
      <c r="A13" s="3" t="s">
        <v>23</v>
      </c>
      <c r="B13" s="3"/>
      <c r="C13" s="3"/>
      <c r="D13" s="3"/>
      <c r="E13" s="3" t="s">
        <v>24</v>
      </c>
    </row>
    <row r="14" spans="1:5" x14ac:dyDescent="0.35">
      <c r="A14" s="3" t="s">
        <v>25</v>
      </c>
      <c r="B14" s="3"/>
      <c r="C14" s="3"/>
      <c r="D14" s="3"/>
      <c r="E14" s="3" t="s">
        <v>26</v>
      </c>
    </row>
    <row r="15" spans="1:5" x14ac:dyDescent="0.35">
      <c r="A15" s="3" t="s">
        <v>27</v>
      </c>
      <c r="B15" s="3"/>
      <c r="C15" s="3"/>
      <c r="D15" s="3"/>
      <c r="E15" s="3" t="s">
        <v>28</v>
      </c>
    </row>
    <row r="16" spans="1:5" x14ac:dyDescent="0.35">
      <c r="A16" s="3" t="s">
        <v>29</v>
      </c>
      <c r="B16" s="3"/>
      <c r="C16" s="3"/>
      <c r="D16" s="3"/>
      <c r="E16" s="3" t="s">
        <v>30</v>
      </c>
    </row>
    <row r="17" spans="1:5" x14ac:dyDescent="0.35">
      <c r="A17" s="3" t="s">
        <v>31</v>
      </c>
      <c r="B17" s="3"/>
      <c r="C17" s="3">
        <f>IF(B15&lt;&gt;"",B15,IF(B14&lt;&gt;"",B14,B13))</f>
        <v>0</v>
      </c>
      <c r="D17" s="3" t="str">
        <f ca="1">IF(C17&lt;&gt;"",_xlfn.FORMULATEXT(C17),"")</f>
        <v>=IF(B15&lt;&gt;"",B15,IF(B14&lt;&gt;"",B14,B13))</v>
      </c>
      <c r="E17" s="3" t="s">
        <v>32</v>
      </c>
    </row>
    <row r="18" spans="1:5" x14ac:dyDescent="0.35">
      <c r="A18" s="3" t="s">
        <v>33</v>
      </c>
      <c r="B18" s="3"/>
      <c r="C18" s="3">
        <f>B12-B11</f>
        <v>0</v>
      </c>
      <c r="D18" s="3" t="str">
        <f ca="1">IF(C18&lt;&gt;"",_xlfn.FORMULATEXT(C18),"")</f>
        <v>=B12-B11</v>
      </c>
      <c r="E18" s="3" t="s">
        <v>34</v>
      </c>
    </row>
    <row r="19" spans="1:5" x14ac:dyDescent="0.35">
      <c r="A19" s="3" t="s">
        <v>35</v>
      </c>
      <c r="B19" s="3"/>
      <c r="C19" s="3">
        <f>C17-B11</f>
        <v>0</v>
      </c>
      <c r="D19" s="3" t="str">
        <f ca="1">IF(C19&lt;&gt;"",_xlfn.FORMULATEXT(C19),"")</f>
        <v>=C17-B11</v>
      </c>
      <c r="E19" s="3" t="s">
        <v>36</v>
      </c>
    </row>
    <row r="20" spans="1:5" x14ac:dyDescent="0.35">
      <c r="A20" s="3" t="s">
        <v>37</v>
      </c>
      <c r="B20" s="3"/>
      <c r="C20" s="3">
        <f>C19-C18</f>
        <v>0</v>
      </c>
      <c r="D20" s="3" t="str">
        <f ca="1">IF(C20&lt;&gt;"",_xlfn.FORMULATEXT(C20),"")</f>
        <v>=C19-C18</v>
      </c>
      <c r="E20" s="3" t="s">
        <v>38</v>
      </c>
    </row>
    <row r="21" spans="1:5" x14ac:dyDescent="0.35">
      <c r="A21" s="3" t="s">
        <v>39</v>
      </c>
      <c r="B21" s="3"/>
      <c r="C21" s="3">
        <f>C18/B3</f>
        <v>0</v>
      </c>
      <c r="D21" s="3" t="str">
        <f ca="1">IF(C21&lt;&gt;"",_xlfn.FORMULATEXT(C21),"")</f>
        <v>=C18/B3</v>
      </c>
      <c r="E21" s="3" t="s">
        <v>40</v>
      </c>
    </row>
    <row r="22" spans="1:5" x14ac:dyDescent="0.35">
      <c r="A22" s="3" t="s">
        <v>41</v>
      </c>
      <c r="B22" s="3"/>
      <c r="C22" s="3">
        <f>C20/B4</f>
        <v>0</v>
      </c>
      <c r="D22" s="3" t="str">
        <f ca="1">IF(C22&lt;&gt;"",_xlfn.FORMULATEXT(C22),"")</f>
        <v>=C20/B4</v>
      </c>
      <c r="E22" s="3" t="s">
        <v>42</v>
      </c>
    </row>
    <row r="23" spans="1:5" x14ac:dyDescent="0.35">
      <c r="A23" s="3" t="s">
        <v>43</v>
      </c>
      <c r="B23" s="3"/>
      <c r="C23" s="3" t="e">
        <f>C21/C22</f>
        <v>#DIV/0!</v>
      </c>
      <c r="D23" s="3" t="e">
        <f ca="1">IF(C23&lt;&gt;"",_xlfn.FORMULATEXT(C23),"")</f>
        <v>#DIV/0!</v>
      </c>
      <c r="E23" s="3" t="s">
        <v>44</v>
      </c>
    </row>
    <row r="24" spans="1:5" x14ac:dyDescent="0.35">
      <c r="A24" s="3" t="s">
        <v>45</v>
      </c>
      <c r="B24" s="3"/>
      <c r="C24" s="3" t="e">
        <f>IF(C23&gt;0,"Cu"&amp;TEXT(ROUND(C23,0),"0")&amp;"S","")</f>
        <v>#DIV/0!</v>
      </c>
      <c r="D24" s="3" t="e">
        <f ca="1">IF(C24&lt;&gt;"",_xlfn.FORMULATEXT(C24),"")</f>
        <v>#DIV/0!</v>
      </c>
      <c r="E24" s="3" t="s">
        <v>46</v>
      </c>
    </row>
    <row r="25" spans="1:5" x14ac:dyDescent="0.35">
      <c r="A25" s="3" t="s">
        <v>47</v>
      </c>
      <c r="B25" s="3"/>
      <c r="C25" s="3">
        <f>C18/B7</f>
        <v>0</v>
      </c>
      <c r="D25" s="3" t="str">
        <f ca="1">IF(C25&lt;&gt;"",_xlfn.FORMULATEXT(C25),"")</f>
        <v>=C18/B7</v>
      </c>
      <c r="E25" s="3" t="s">
        <v>48</v>
      </c>
    </row>
    <row r="26" spans="1:5" x14ac:dyDescent="0.35">
      <c r="A26" s="3" t="s">
        <v>49</v>
      </c>
      <c r="B26" s="3"/>
      <c r="C26" s="3">
        <f>PI()*(B10/2)^2</f>
        <v>0</v>
      </c>
      <c r="D26" s="3" t="str">
        <f ca="1">IF(C26&lt;&gt;"",_xlfn.FORMULATEXT(C26),"")</f>
        <v>=PI()*(B10/2)^2</v>
      </c>
      <c r="E26" s="3" t="s">
        <v>50</v>
      </c>
    </row>
    <row r="27" spans="1:5" x14ac:dyDescent="0.35">
      <c r="A27" s="3" t="s">
        <v>51</v>
      </c>
      <c r="B27" s="3"/>
      <c r="C27" s="3" t="e">
        <f>C25/C26</f>
        <v>#DIV/0!</v>
      </c>
      <c r="D27" s="3" t="e">
        <f ca="1">IF(C27&lt;&gt;"",_xlfn.FORMULATEXT(C27),"")</f>
        <v>#DIV/0!</v>
      </c>
      <c r="E27" s="3" t="s">
        <v>52</v>
      </c>
    </row>
    <row r="28" spans="1:5" x14ac:dyDescent="0.35">
      <c r="A28" s="3" t="s">
        <v>53</v>
      </c>
      <c r="B28" s="3"/>
      <c r="C28" s="3">
        <f>PI()*(B16/2)^2</f>
        <v>0</v>
      </c>
      <c r="D28" s="3" t="str">
        <f ca="1">IF(C28&lt;&gt;"",_xlfn.FORMULATEXT(C28),"")</f>
        <v>=PI()*(B16/2)^2</v>
      </c>
      <c r="E28" s="3" t="s">
        <v>54</v>
      </c>
    </row>
    <row r="29" spans="1:5" x14ac:dyDescent="0.35">
      <c r="A29" s="3" t="s">
        <v>55</v>
      </c>
      <c r="B29" s="3"/>
      <c r="C29" s="3" t="e">
        <f>C28*C27</f>
        <v>#DIV/0!</v>
      </c>
      <c r="D29" s="3" t="e">
        <f ca="1">IF(C29&lt;&gt;"",_xlfn.FORMULATEXT(C29),"")</f>
        <v>#DIV/0!</v>
      </c>
      <c r="E29" s="3" t="s">
        <v>56</v>
      </c>
    </row>
    <row r="30" spans="1:5" x14ac:dyDescent="0.35">
      <c r="A30" s="3" t="s">
        <v>57</v>
      </c>
      <c r="B30" s="3"/>
      <c r="C30" s="3" t="e">
        <f>C19/C29</f>
        <v>#DIV/0!</v>
      </c>
      <c r="D30" s="3" t="e">
        <f ca="1">IF(C30&lt;&gt;"",_xlfn.FORMULATEXT(C30),"")</f>
        <v>#DIV/0!</v>
      </c>
      <c r="E30" s="3" t="s">
        <v>58</v>
      </c>
    </row>
    <row r="31" spans="1:5" x14ac:dyDescent="0.35">
      <c r="A31" s="3"/>
      <c r="B31" s="3"/>
      <c r="C31" s="3"/>
      <c r="D31" s="3"/>
      <c r="E31" s="3"/>
    </row>
    <row r="32" spans="1:5" ht="16" x14ac:dyDescent="0.35">
      <c r="A32" s="2" t="s">
        <v>59</v>
      </c>
      <c r="B32" s="3"/>
      <c r="C32" s="3"/>
      <c r="D32" s="3"/>
      <c r="E32" s="3"/>
    </row>
    <row r="33" spans="1:5" x14ac:dyDescent="0.35">
      <c r="A33" s="3" t="s">
        <v>60</v>
      </c>
      <c r="B33" s="3"/>
      <c r="C33" s="3"/>
      <c r="D33" s="3"/>
      <c r="E33" s="3" t="s">
        <v>61</v>
      </c>
    </row>
    <row r="34" spans="1:5" x14ac:dyDescent="0.35">
      <c r="A34" s="3" t="s">
        <v>62</v>
      </c>
      <c r="B34" s="3"/>
      <c r="C34" s="3"/>
      <c r="D34" s="3"/>
      <c r="E34" s="3" t="s">
        <v>63</v>
      </c>
    </row>
    <row r="35" spans="1:5" x14ac:dyDescent="0.35">
      <c r="A35" s="3" t="s">
        <v>64</v>
      </c>
      <c r="B35" s="3"/>
      <c r="C35" s="3"/>
      <c r="D35" s="3"/>
      <c r="E35" s="3" t="s">
        <v>65</v>
      </c>
    </row>
    <row r="36" spans="1:5" x14ac:dyDescent="0.35">
      <c r="A36" s="3" t="s">
        <v>66</v>
      </c>
      <c r="B36" s="3"/>
      <c r="C36" s="3"/>
      <c r="D36" s="3"/>
      <c r="E36" s="3" t="s">
        <v>67</v>
      </c>
    </row>
    <row r="37" spans="1:5" x14ac:dyDescent="0.35">
      <c r="A37" s="3" t="s">
        <v>68</v>
      </c>
      <c r="B37" s="3"/>
      <c r="C37" s="3"/>
      <c r="D37" s="3"/>
      <c r="E37" s="3" t="s">
        <v>28</v>
      </c>
    </row>
    <row r="38" spans="1:5" x14ac:dyDescent="0.35">
      <c r="A38" s="3" t="s">
        <v>69</v>
      </c>
      <c r="B38" s="3"/>
      <c r="C38" s="3">
        <f>IF(B37&lt;&gt;"",B37,IF(B36&lt;&gt;"",B36,B35))</f>
        <v>0</v>
      </c>
      <c r="D38" s="3" t="str">
        <f ca="1">IF(C38&lt;&gt;"",_xlfn.FORMULATEXT(C38),"")</f>
        <v>=IF(B37&lt;&gt;"",B37,IF(B36&lt;&gt;"",B36,B35))</v>
      </c>
      <c r="E38" s="3" t="s">
        <v>70</v>
      </c>
    </row>
    <row r="39" spans="1:5" x14ac:dyDescent="0.35">
      <c r="A39" s="3" t="s">
        <v>71</v>
      </c>
      <c r="B39" s="3"/>
      <c r="C39" s="3">
        <f>B34-B33</f>
        <v>0</v>
      </c>
      <c r="D39" s="3" t="str">
        <f ca="1">IF(C39&lt;&gt;"",_xlfn.FORMULATEXT(C39),"")</f>
        <v>=B34-B33</v>
      </c>
      <c r="E39" s="3" t="s">
        <v>72</v>
      </c>
    </row>
    <row r="40" spans="1:5" x14ac:dyDescent="0.35">
      <c r="A40" s="3" t="s">
        <v>73</v>
      </c>
      <c r="B40" s="3"/>
      <c r="C40" s="3">
        <f>C38-B33</f>
        <v>0</v>
      </c>
      <c r="D40" s="3" t="str">
        <f ca="1">IF(C40&lt;&gt;"",_xlfn.FORMULATEXT(C40),"")</f>
        <v>=C38-B33</v>
      </c>
      <c r="E40" s="3" t="s">
        <v>74</v>
      </c>
    </row>
    <row r="41" spans="1:5" x14ac:dyDescent="0.35">
      <c r="A41" s="3" t="s">
        <v>75</v>
      </c>
      <c r="B41" s="3"/>
      <c r="C41" s="3">
        <f>C39-C40</f>
        <v>0</v>
      </c>
      <c r="D41" s="3" t="str">
        <f ca="1">IF(C41&lt;&gt;"",_xlfn.FORMULATEXT(C41),"")</f>
        <v>=C39-C40</v>
      </c>
      <c r="E41" s="3" t="s">
        <v>76</v>
      </c>
    </row>
    <row r="42" spans="1:5" x14ac:dyDescent="0.35">
      <c r="A42" s="3" t="s">
        <v>77</v>
      </c>
      <c r="B42" s="3"/>
      <c r="C42" s="3">
        <f>C40/B6</f>
        <v>0</v>
      </c>
      <c r="D42" s="3" t="str">
        <f ca="1">IF(C42&lt;&gt;"",_xlfn.FORMULATEXT(C42),"")</f>
        <v>=C40/B6</v>
      </c>
      <c r="E42" s="3" t="s">
        <v>78</v>
      </c>
    </row>
    <row r="43" spans="1:5" x14ac:dyDescent="0.35">
      <c r="A43" s="3" t="s">
        <v>79</v>
      </c>
      <c r="B43" s="3"/>
      <c r="C43" s="3">
        <f>C41/(2*B5)</f>
        <v>0</v>
      </c>
      <c r="D43" s="3" t="str">
        <f ca="1">IF(C43&lt;&gt;"",_xlfn.FORMULATEXT(C43),"")</f>
        <v>=C41/(2*B5)</v>
      </c>
      <c r="E43" s="3" t="s">
        <v>80</v>
      </c>
    </row>
    <row r="44" spans="1:5" x14ac:dyDescent="0.35">
      <c r="A44" s="3" t="s">
        <v>81</v>
      </c>
      <c r="B44" s="3"/>
      <c r="C44" s="3">
        <f>C42</f>
        <v>0</v>
      </c>
      <c r="D44" s="3" t="str">
        <f ca="1">IF(C44&lt;&gt;"",_xlfn.FORMULATEXT(C44),"")</f>
        <v>=C42</v>
      </c>
      <c r="E44" s="3" t="s">
        <v>82</v>
      </c>
    </row>
    <row r="45" spans="1:5" x14ac:dyDescent="0.35">
      <c r="A45" s="3" t="s">
        <v>83</v>
      </c>
      <c r="B45" s="3"/>
      <c r="C45" s="3">
        <f>C42+2*C43</f>
        <v>0</v>
      </c>
      <c r="D45" s="3" t="str">
        <f ca="1">IF(C45&lt;&gt;"",_xlfn.FORMULATEXT(C45),"")</f>
        <v>=C42+2*C43</v>
      </c>
      <c r="E45" s="3" t="s">
        <v>84</v>
      </c>
    </row>
    <row r="46" spans="1:5" x14ac:dyDescent="0.35">
      <c r="A46" s="3" t="s">
        <v>85</v>
      </c>
      <c r="B46" s="3"/>
      <c r="C46" s="3" t="e">
        <f>C44/C45</f>
        <v>#DIV/0!</v>
      </c>
      <c r="D46" s="3" t="e">
        <f ca="1">IF(C46&lt;&gt;"",_xlfn.FORMULATEXT(C46),"")</f>
        <v>#DIV/0!</v>
      </c>
      <c r="E46" s="3" t="s">
        <v>86</v>
      </c>
    </row>
    <row r="47" spans="1:5" x14ac:dyDescent="0.35">
      <c r="A47" s="3" t="s">
        <v>87</v>
      </c>
      <c r="B47" s="3"/>
      <c r="C47" s="3" t="e">
        <f>IF(C46&gt;0,"CuBr"&amp;TEXT(ROUND(1/C46,0),"0"),"")</f>
        <v>#DIV/0!</v>
      </c>
      <c r="D47" s="3" t="e">
        <f ca="1">IF(C47&lt;&gt;"",_xlfn.FORMULATEXT(C47),"")</f>
        <v>#DIV/0!</v>
      </c>
      <c r="E47" s="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Dreyer</dc:creator>
  <cp:lastModifiedBy>David Dreyer</cp:lastModifiedBy>
  <dcterms:created xsi:type="dcterms:W3CDTF">2026-01-19T06:49:44Z</dcterms:created>
  <dcterms:modified xsi:type="dcterms:W3CDTF">2026-01-19T06:49:46Z</dcterms:modified>
</cp:coreProperties>
</file>