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MP 166/chem lab 2/"/>
    </mc:Choice>
  </mc:AlternateContent>
  <xr:revisionPtr revIDLastSave="25" documentId="8_{822597FE-92FB-43F0-8020-1765B79810AA}" xr6:coauthVersionLast="47" xr6:coauthVersionMax="47" xr10:uidLastSave="{79A924FF-FE73-435A-AA06-BCFCEAC731F7}"/>
  <bookViews>
    <workbookView xWindow="-110" yWindow="-110" windowWidth="22180" windowHeight="14140" xr2:uid="{AA52EF05-F7CF-41CB-9DE8-1E99C8254872}"/>
  </bookViews>
  <sheets>
    <sheet name="Lab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D33" i="1"/>
  <c r="H32" i="1"/>
  <c r="H31" i="1"/>
  <c r="H30" i="1"/>
  <c r="H29" i="1"/>
  <c r="H28" i="1"/>
  <c r="D23" i="1"/>
  <c r="D21" i="1"/>
  <c r="D13" i="1"/>
  <c r="D12" i="1"/>
  <c r="D14" i="1" s="1"/>
  <c r="H11" i="1"/>
  <c r="E23" i="1" s="1"/>
  <c r="H10" i="1"/>
  <c r="H9" i="1"/>
  <c r="H8" i="1"/>
  <c r="H7" i="1"/>
  <c r="E13" i="1" s="1"/>
  <c r="H6" i="1"/>
  <c r="H5" i="1"/>
  <c r="E21" i="1" s="1"/>
  <c r="E33" i="1" l="1"/>
  <c r="D36" i="1"/>
  <c r="D34" i="1"/>
  <c r="D35" i="1" s="1"/>
  <c r="D37" i="1" s="1"/>
  <c r="D38" i="1" s="1"/>
  <c r="E12" i="1"/>
  <c r="E14" i="1" s="1"/>
  <c r="E15" i="1" s="1"/>
  <c r="E17" i="1" s="1"/>
  <c r="D15" i="1"/>
  <c r="D17" i="1" s="1"/>
  <c r="E20" i="1"/>
  <c r="E22" i="1" s="1"/>
  <c r="E24" i="1" s="1"/>
  <c r="E16" i="1"/>
  <c r="D16" i="1"/>
  <c r="D18" i="1" s="1"/>
  <c r="D19" i="1" s="1"/>
  <c r="D20" i="1"/>
  <c r="D22" i="1" s="1"/>
  <c r="D24" i="1" s="1"/>
  <c r="D25" i="1" s="1"/>
  <c r="E34" i="1" l="1"/>
  <c r="E35" i="1" s="1"/>
  <c r="E36" i="1"/>
  <c r="E37" i="1" s="1"/>
  <c r="E25" i="1"/>
  <c r="E18" i="1"/>
</calcChain>
</file>

<file path=xl/sharedStrings.xml><?xml version="1.0" encoding="utf-8"?>
<sst xmlns="http://schemas.openxmlformats.org/spreadsheetml/2006/main" count="68" uniqueCount="66">
  <si>
    <t>Molar mass Cu (g/mol)</t>
  </si>
  <si>
    <t>Molar mass S (g/mol)</t>
  </si>
  <si>
    <t>Molar mass Br (g/mol)</t>
  </si>
  <si>
    <t>Molar mass CuBr (g/mol)</t>
  </si>
  <si>
    <t>Density Cu (g/cm^3)</t>
  </si>
  <si>
    <t>Data Sheet Laboratory #2: Stoichiometry</t>
  </si>
  <si>
    <t>Measurement / Step</t>
  </si>
  <si>
    <t>Input sig figs (override)</t>
  </si>
  <si>
    <t>Result</t>
  </si>
  <si>
    <t>Sig figs (auto)</t>
  </si>
  <si>
    <t>Calculation Shown</t>
  </si>
  <si>
    <t>Explanation</t>
  </si>
  <si>
    <t>1. Copper and Sulfur</t>
  </si>
  <si>
    <t>Diameter of copper wire (cm)</t>
  </si>
  <si>
    <t>Mass of empty crucible (g)</t>
  </si>
  <si>
    <t>Mass of crucible plus copper (g)</t>
  </si>
  <si>
    <t>Mass of crucible and product after 1st heating (g)</t>
  </si>
  <si>
    <t>Mass of crucible and product after 2nd heating (g)</t>
  </si>
  <si>
    <t>Mass of crucible and product after 3rd heating (g) (if required)</t>
  </si>
  <si>
    <t>Diameter of product wire (cm)</t>
  </si>
  <si>
    <t>Final mass of crucible + product (g)</t>
  </si>
  <si>
    <t>last nonblank heating mass</t>
  </si>
  <si>
    <t>Mass of copper (g)</t>
  </si>
  <si>
    <t>mass Cu = (crucible+Cu) - (empty crucible)</t>
  </si>
  <si>
    <t>Mass of product (g)</t>
  </si>
  <si>
    <t>mass product = (final crucible+product) - (empty crucible)</t>
  </si>
  <si>
    <t>Mass of sulfur that combined with the copper (g)</t>
  </si>
  <si>
    <t>mass S = mass product - mass Cu</t>
  </si>
  <si>
    <t>Moles of Cu (mol)</t>
  </si>
  <si>
    <t>n(Cu) = mass Cu / 63.546</t>
  </si>
  <si>
    <t>Moles of S (mol)</t>
  </si>
  <si>
    <t>n(S) = mass S / 32.065</t>
  </si>
  <si>
    <t>Ratio of moles of copper to moles of sulfur (all sig. figs.)</t>
  </si>
  <si>
    <t>n(Cu)/n(S)</t>
  </si>
  <si>
    <t>Empirical formula for CuxS (one sig. fig.)</t>
  </si>
  <si>
    <t>x = n(Cu)/n(S); round x to 1 sig fig</t>
  </si>
  <si>
    <t>Volume of copper (cm^3) using densityCu = 8.90 g/cm^3</t>
  </si>
  <si>
    <t>V(Cu) = mass Cu / 8.90</t>
  </si>
  <si>
    <t>Area of Cu wire (cm^2)</t>
  </si>
  <si>
    <t>A = pi*(d/2)^2</t>
  </si>
  <si>
    <t>Length of Cu wire (cm)</t>
  </si>
  <si>
    <t>length = V(Cu)/A</t>
  </si>
  <si>
    <t>Area of product wire (cm^2)</t>
  </si>
  <si>
    <t>Volume of product (cm^3)</t>
  </si>
  <si>
    <t>V(product) = area(product) * length</t>
  </si>
  <si>
    <t>Density of product (g/cm^3)</t>
  </si>
  <si>
    <t>density = mass / volume</t>
  </si>
  <si>
    <t>2. Decomposition of CuBrx</t>
  </si>
  <si>
    <t>Mass of empty flask (g)</t>
  </si>
  <si>
    <t>Mass of flask plus copper bromide (g)</t>
  </si>
  <si>
    <t>Mass of flask plus decomposed copper bromide 1st weighing (g)</t>
  </si>
  <si>
    <t>Mass of flask plus decomposed copper bromide 2nd weighing (g)</t>
  </si>
  <si>
    <t>Mass of flask plus decomposed copper bromide 3rd weighing (g) (if required)</t>
  </si>
  <si>
    <t>Final mass of flask + decomposed CuBr (g)</t>
  </si>
  <si>
    <t>Mass of decomposed copper bromide (g)</t>
  </si>
  <si>
    <t>mass CuBr = (final flask+CuBr) - (empty flask)</t>
  </si>
  <si>
    <t>Number of moles of decomposed copper(I) bromide (n CuBr)</t>
  </si>
  <si>
    <t>n(CuBr) = mass CuBr / 143.45</t>
  </si>
  <si>
    <t>Number of moles of bromine gas given off (n Br2)</t>
  </si>
  <si>
    <t>n(Br2) = mass lost / (2*79.904)</t>
  </si>
  <si>
    <t>mass lost = initial CuBrx - final CuBr</t>
  </si>
  <si>
    <t>Ratio of moles of Cu to moles of Br in CuBrx (all sig. figs.)</t>
  </si>
  <si>
    <t>n(Cu)/n(Br) = n(CuBr) / (n(CuBr) + 2*n(Br2))</t>
  </si>
  <si>
    <t>Empirical formula for CuBrx (one sig. fig.)</t>
  </si>
  <si>
    <t>x = n(Br)/n(Cu); round to 1 sig fig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</si>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</sst>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C8D-D2C0-4420-9243-19C7F8955B43}">
  <dimension ref="A1:J43"/>
  <sheetViews>
    <sheetView tabSelected="1" topLeftCell="A9" zoomScale="95" workbookViewId="0">
      <selection activeCell="D35" sqref="D35"/>
    </sheetView>
  </sheetViews>
  <sheetFormatPr defaultRowHeight="14.5" x14ac:dyDescent="0.35"/>
  <cols>
    <col min="1" max="1" width="54.6328125" customWidth="1"/>
    <col min="2" max="2" width="18.6328125" customWidth="1"/>
    <col min="3" max="3" width="19.90625" customWidth="1"/>
    <col min="4" max="4" width="18.6328125" customWidth="1"/>
    <col min="5" max="5" width="10.6328125" customWidth="1"/>
    <col min="6" max="6" width="46.6328125" customWidth="1"/>
    <col min="7" max="7" width="38.6328125" customWidth="1"/>
    <col min="8" max="8" width="12.81640625" customWidth="1"/>
    <col min="9" max="9" width="28.54296875" customWidth="1"/>
    <col min="10" max="10" width="26.54296875" customWidth="1"/>
  </cols>
  <sheetData>
    <row r="1" spans="1:10" ht="18.5" x14ac:dyDescent="0.35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</row>
    <row r="2" spans="1:10" ht="43.5" x14ac:dyDescent="0.35">
      <c r="A2" s="2"/>
      <c r="B2" s="2"/>
      <c r="C2" s="2"/>
      <c r="D2" s="2"/>
      <c r="E2" s="2"/>
      <c r="F2" s="2"/>
      <c r="G2" s="2"/>
      <c r="H2" s="2"/>
      <c r="I2" s="2" t="s">
        <v>0</v>
      </c>
      <c r="J2" s="2">
        <v>63.545999999999999</v>
      </c>
    </row>
    <row r="3" spans="1:10" ht="29" x14ac:dyDescent="0.35">
      <c r="A3" s="3" t="s">
        <v>6</v>
      </c>
      <c r="B3" s="4" t="s">
        <v>65</v>
      </c>
      <c r="C3" s="4" t="s">
        <v>7</v>
      </c>
      <c r="D3" s="5" t="s">
        <v>8</v>
      </c>
      <c r="E3" s="6" t="s">
        <v>9</v>
      </c>
      <c r="F3" s="7" t="s">
        <v>10</v>
      </c>
      <c r="G3" s="4" t="s">
        <v>11</v>
      </c>
      <c r="H3" s="2"/>
      <c r="I3" s="2" t="s">
        <v>1</v>
      </c>
      <c r="J3" s="2">
        <v>32.064999999999998</v>
      </c>
    </row>
    <row r="4" spans="1:10" ht="43.5" x14ac:dyDescent="0.35">
      <c r="A4" s="8" t="s">
        <v>12</v>
      </c>
      <c r="B4" s="4"/>
      <c r="C4" s="4"/>
      <c r="D4" s="4"/>
      <c r="E4" s="4"/>
      <c r="F4" s="4"/>
      <c r="G4" s="4"/>
      <c r="H4" s="2"/>
      <c r="I4" s="2" t="s">
        <v>2</v>
      </c>
      <c r="J4" s="2">
        <v>79.903999999999996</v>
      </c>
    </row>
    <row r="5" spans="1:10" x14ac:dyDescent="0.35">
      <c r="A5" s="4" t="s">
        <v>13</v>
      </c>
      <c r="B5" s="6">
        <v>0.10100000000000001</v>
      </c>
      <c r="C5" s="5"/>
      <c r="D5" s="4"/>
      <c r="E5" s="4"/>
      <c r="F5" s="4"/>
      <c r="G5" s="4"/>
      <c r="H5" s="2">
        <f t="shared" ref="H5:H11" si="0">IF(C5&lt;&gt;"",C5,IF(B5=0,1, LEN(SUBSTITUTE(TEXT(ABS(B5),"0.################"),".","")) - IF(LEFT(TEXT(ABS(B5),"0.################"),1)="0",1,0)))</f>
        <v>3</v>
      </c>
      <c r="I5" s="2" t="s">
        <v>3</v>
      </c>
      <c r="J5" s="2">
        <v>143.44999999999999</v>
      </c>
    </row>
    <row r="6" spans="1:10" x14ac:dyDescent="0.35">
      <c r="A6" s="4" t="s">
        <v>14</v>
      </c>
      <c r="B6" s="6">
        <v>18.350000000000001</v>
      </c>
      <c r="C6" s="5"/>
      <c r="D6" s="4"/>
      <c r="E6" s="4"/>
      <c r="F6" s="4"/>
      <c r="G6" s="4"/>
      <c r="H6" s="2">
        <f t="shared" si="0"/>
        <v>4</v>
      </c>
      <c r="I6" s="2" t="s">
        <v>4</v>
      </c>
      <c r="J6" s="2">
        <v>8.9</v>
      </c>
    </row>
    <row r="7" spans="1:10" x14ac:dyDescent="0.35">
      <c r="A7" s="4" t="s">
        <v>15</v>
      </c>
      <c r="B7" s="6">
        <v>19.350000000000001</v>
      </c>
      <c r="C7" s="5"/>
      <c r="D7" s="4"/>
      <c r="E7" s="4"/>
      <c r="F7" s="4"/>
      <c r="G7" s="4"/>
      <c r="H7" s="2">
        <f t="shared" si="0"/>
        <v>4</v>
      </c>
      <c r="I7" s="2"/>
      <c r="J7" s="2"/>
    </row>
    <row r="8" spans="1:10" x14ac:dyDescent="0.35">
      <c r="A8" s="4" t="s">
        <v>16</v>
      </c>
      <c r="B8" s="6">
        <v>19.62</v>
      </c>
      <c r="C8" s="5">
        <v>5</v>
      </c>
      <c r="D8" s="4"/>
      <c r="E8" s="4"/>
      <c r="F8" s="4"/>
      <c r="G8" s="4"/>
      <c r="H8" s="2">
        <f t="shared" si="0"/>
        <v>5</v>
      </c>
      <c r="I8" s="2"/>
      <c r="J8" s="2"/>
    </row>
    <row r="9" spans="1:10" x14ac:dyDescent="0.35">
      <c r="A9" s="4" t="s">
        <v>17</v>
      </c>
      <c r="B9" s="6">
        <v>19.617999999999999</v>
      </c>
      <c r="C9" s="5"/>
      <c r="D9" s="4"/>
      <c r="E9" s="4"/>
      <c r="F9" s="4"/>
      <c r="G9" s="4"/>
      <c r="H9" s="2">
        <f t="shared" si="0"/>
        <v>5</v>
      </c>
      <c r="I9" s="2"/>
      <c r="J9" s="2"/>
    </row>
    <row r="10" spans="1:10" x14ac:dyDescent="0.35">
      <c r="A10" s="4" t="s">
        <v>18</v>
      </c>
      <c r="B10" s="6"/>
      <c r="C10" s="5"/>
      <c r="D10" s="4"/>
      <c r="E10" s="4"/>
      <c r="F10" s="4"/>
      <c r="G10" s="4"/>
      <c r="H10" s="2">
        <f t="shared" si="0"/>
        <v>1</v>
      </c>
      <c r="I10" s="2"/>
      <c r="J10" s="2"/>
    </row>
    <row r="11" spans="1:10" x14ac:dyDescent="0.35">
      <c r="A11" s="4" t="s">
        <v>19</v>
      </c>
      <c r="B11" s="6">
        <v>0.16300000000000001</v>
      </c>
      <c r="C11" s="5"/>
      <c r="D11" s="4"/>
      <c r="E11" s="4"/>
      <c r="F11" s="4"/>
      <c r="G11" s="4"/>
      <c r="H11" s="2">
        <f t="shared" si="0"/>
        <v>3</v>
      </c>
      <c r="I11" s="2"/>
      <c r="J11" s="2"/>
    </row>
    <row r="12" spans="1:10" x14ac:dyDescent="0.35">
      <c r="A12" s="4" t="s">
        <v>20</v>
      </c>
      <c r="B12" s="4"/>
      <c r="C12" s="4"/>
      <c r="D12" s="5">
        <f>IF(B10&lt;&gt;"",B10,IF(B9&lt;&gt;"",B9,B8))</f>
        <v>19.617999999999999</v>
      </c>
      <c r="E12" s="6">
        <f>IF(B10&lt;&gt;"",H10,IF(B9&lt;&gt;"",H9,H8))</f>
        <v>5</v>
      </c>
      <c r="F12" s="7" t="s">
        <v>21</v>
      </c>
      <c r="G12" s="4"/>
      <c r="H12" s="2"/>
      <c r="I12" s="2"/>
      <c r="J12" s="2"/>
    </row>
    <row r="13" spans="1:10" x14ac:dyDescent="0.35">
      <c r="A13" s="4" t="s">
        <v>22</v>
      </c>
      <c r="B13" s="4"/>
      <c r="C13" s="4"/>
      <c r="D13" s="5">
        <f>B7-B6</f>
        <v>1</v>
      </c>
      <c r="E13" s="6">
        <f>MIN(H7,H6)</f>
        <v>4</v>
      </c>
      <c r="F13" s="7" t="s">
        <v>23</v>
      </c>
      <c r="G13" s="4"/>
      <c r="H13" s="2"/>
      <c r="I13" s="2"/>
      <c r="J13" s="2"/>
    </row>
    <row r="14" spans="1:10" ht="29" x14ac:dyDescent="0.35">
      <c r="A14" s="4" t="s">
        <v>24</v>
      </c>
      <c r="B14" s="4"/>
      <c r="C14" s="4"/>
      <c r="D14" s="5">
        <f>D12-B6</f>
        <v>1.2679999999999971</v>
      </c>
      <c r="E14" s="6">
        <f>MIN(E12,H6)</f>
        <v>4</v>
      </c>
      <c r="F14" s="7" t="s">
        <v>25</v>
      </c>
      <c r="G14" s="4"/>
      <c r="H14" s="2"/>
      <c r="I14" s="2"/>
      <c r="J14" s="2"/>
    </row>
    <row r="15" spans="1:10" x14ac:dyDescent="0.35">
      <c r="A15" s="4" t="s">
        <v>26</v>
      </c>
      <c r="B15" s="4"/>
      <c r="C15" s="4"/>
      <c r="D15" s="5">
        <f>D14-D13</f>
        <v>0.26799999999999713</v>
      </c>
      <c r="E15" s="6">
        <f>MIN(E14,E13)</f>
        <v>4</v>
      </c>
      <c r="F15" s="7" t="s">
        <v>27</v>
      </c>
      <c r="G15" s="4"/>
      <c r="H15" s="2"/>
      <c r="I15" s="2"/>
      <c r="J15" s="2"/>
    </row>
    <row r="16" spans="1:10" x14ac:dyDescent="0.35">
      <c r="A16" s="4" t="s">
        <v>28</v>
      </c>
      <c r="B16" s="4"/>
      <c r="C16" s="4"/>
      <c r="D16" s="5">
        <f>D13/$J$2</f>
        <v>1.5736631731344222E-2</v>
      </c>
      <c r="E16" s="6">
        <f>E13</f>
        <v>4</v>
      </c>
      <c r="F16" s="7" t="s">
        <v>29</v>
      </c>
      <c r="G16" s="4"/>
      <c r="H16" s="2"/>
      <c r="I16" s="2"/>
      <c r="J16" s="2"/>
    </row>
    <row r="17" spans="1:10" x14ac:dyDescent="0.35">
      <c r="A17" s="4" t="s">
        <v>30</v>
      </c>
      <c r="B17" s="4"/>
      <c r="C17" s="4"/>
      <c r="D17" s="5">
        <f>D15/$J$3</f>
        <v>8.3580227662559542E-3</v>
      </c>
      <c r="E17" s="6">
        <f>E15</f>
        <v>4</v>
      </c>
      <c r="F17" s="7" t="s">
        <v>31</v>
      </c>
      <c r="G17" s="4"/>
      <c r="H17" s="2"/>
      <c r="I17" s="2"/>
      <c r="J17" s="2"/>
    </row>
    <row r="18" spans="1:10" x14ac:dyDescent="0.35">
      <c r="A18" s="4" t="s">
        <v>32</v>
      </c>
      <c r="B18" s="4"/>
      <c r="C18" s="4"/>
      <c r="D18" s="5">
        <f>D16/D17</f>
        <v>1.8828175241252156</v>
      </c>
      <c r="E18" s="6">
        <f>MIN(E16,E17)</f>
        <v>4</v>
      </c>
      <c r="F18" s="7" t="s">
        <v>33</v>
      </c>
      <c r="G18" s="4"/>
      <c r="H18" s="2"/>
      <c r="I18" s="2"/>
      <c r="J18" s="2"/>
    </row>
    <row r="19" spans="1:10" x14ac:dyDescent="0.35">
      <c r="A19" s="4" t="s">
        <v>34</v>
      </c>
      <c r="B19" s="4"/>
      <c r="C19" s="4"/>
      <c r="D19" s="5" t="str">
        <f>IF(D18&gt;0,"Cu"&amp;TEXT(ROUND(D18,0),"0")&amp;"S","")</f>
        <v>Cu2S</v>
      </c>
      <c r="E19" s="6">
        <v>1</v>
      </c>
      <c r="F19" s="7" t="s">
        <v>35</v>
      </c>
      <c r="G19" s="4"/>
      <c r="H19" s="2"/>
      <c r="I19" s="2"/>
      <c r="J19" s="2"/>
    </row>
    <row r="20" spans="1:10" x14ac:dyDescent="0.35">
      <c r="A20" s="4" t="s">
        <v>36</v>
      </c>
      <c r="B20" s="4"/>
      <c r="C20" s="4"/>
      <c r="D20" s="5">
        <f>D13/$J$6</f>
        <v>0.11235955056179775</v>
      </c>
      <c r="E20" s="6">
        <f>E13</f>
        <v>4</v>
      </c>
      <c r="F20" s="7" t="s">
        <v>37</v>
      </c>
      <c r="G20" s="4"/>
      <c r="H20" s="2"/>
      <c r="I20" s="2"/>
      <c r="J20" s="2"/>
    </row>
    <row r="21" spans="1:10" x14ac:dyDescent="0.35">
      <c r="A21" s="4" t="s">
        <v>38</v>
      </c>
      <c r="B21" s="4"/>
      <c r="C21" s="4"/>
      <c r="D21" s="5">
        <f>PI()*(B5/2)^2</f>
        <v>8.0118466648173708E-3</v>
      </c>
      <c r="E21" s="6">
        <f>H5</f>
        <v>3</v>
      </c>
      <c r="F21" s="7" t="s">
        <v>39</v>
      </c>
      <c r="G21" s="4"/>
      <c r="H21" s="2"/>
      <c r="I21" s="2"/>
      <c r="J21" s="2"/>
    </row>
    <row r="22" spans="1:10" x14ac:dyDescent="0.35">
      <c r="A22" s="4" t="s">
        <v>40</v>
      </c>
      <c r="B22" s="4"/>
      <c r="C22" s="4"/>
      <c r="D22" s="5">
        <f>D20/D21</f>
        <v>14.024176355646588</v>
      </c>
      <c r="E22" s="6">
        <f>MIN(E20,E21)</f>
        <v>3</v>
      </c>
      <c r="F22" s="7" t="s">
        <v>41</v>
      </c>
      <c r="G22" s="4"/>
      <c r="H22" s="2"/>
      <c r="I22" s="2"/>
      <c r="J22" s="2"/>
    </row>
    <row r="23" spans="1:10" x14ac:dyDescent="0.35">
      <c r="A23" s="4" t="s">
        <v>42</v>
      </c>
      <c r="B23" s="4"/>
      <c r="C23" s="4"/>
      <c r="D23" s="5">
        <f>PI()*(B11/2)^2</f>
        <v>2.0867243803306804E-2</v>
      </c>
      <c r="E23" s="6">
        <f>H11</f>
        <v>3</v>
      </c>
      <c r="F23" s="7" t="s">
        <v>39</v>
      </c>
      <c r="G23" s="4"/>
      <c r="H23" s="2"/>
      <c r="I23" s="2"/>
      <c r="J23" s="2"/>
    </row>
    <row r="24" spans="1:10" x14ac:dyDescent="0.35">
      <c r="A24" s="4" t="s">
        <v>43</v>
      </c>
      <c r="B24" s="4"/>
      <c r="C24" s="4"/>
      <c r="D24" s="5">
        <f>D23*D22</f>
        <v>0.29264590715384808</v>
      </c>
      <c r="E24" s="6">
        <f>MIN(E23,E22)</f>
        <v>3</v>
      </c>
      <c r="F24" s="7" t="s">
        <v>44</v>
      </c>
      <c r="G24" s="4"/>
      <c r="H24" s="2"/>
      <c r="I24" s="2"/>
      <c r="J24" s="2"/>
    </row>
    <row r="25" spans="1:10" x14ac:dyDescent="0.35">
      <c r="A25" s="4" t="s">
        <v>45</v>
      </c>
      <c r="B25" s="4"/>
      <c r="C25" s="4"/>
      <c r="D25" s="5">
        <f>D14/D24</f>
        <v>4.3328813730287079</v>
      </c>
      <c r="E25" s="6">
        <f>MIN(E14,E24)</f>
        <v>3</v>
      </c>
      <c r="F25" s="7" t="s">
        <v>46</v>
      </c>
      <c r="G25" s="4"/>
      <c r="H25" s="2"/>
      <c r="I25" s="2"/>
      <c r="J25" s="2"/>
    </row>
    <row r="26" spans="1:10" x14ac:dyDescent="0.35">
      <c r="A26" s="4"/>
      <c r="B26" s="4"/>
      <c r="C26" s="4"/>
      <c r="D26" s="4"/>
      <c r="E26" s="4"/>
      <c r="F26" s="4"/>
      <c r="G26" s="4"/>
      <c r="H26" s="2"/>
      <c r="I26" s="2"/>
      <c r="J26" s="2"/>
    </row>
    <row r="27" spans="1:10" ht="16" x14ac:dyDescent="0.35">
      <c r="A27" s="8" t="s">
        <v>47</v>
      </c>
      <c r="B27" s="4"/>
      <c r="C27" s="4"/>
      <c r="D27" s="4"/>
      <c r="E27" s="4"/>
      <c r="F27" s="4"/>
      <c r="G27" s="4"/>
      <c r="H27" s="2"/>
      <c r="I27" s="2"/>
      <c r="J27" s="2"/>
    </row>
    <row r="28" spans="1:10" x14ac:dyDescent="0.35">
      <c r="A28" s="4" t="s">
        <v>48</v>
      </c>
      <c r="B28" s="6">
        <v>115.568</v>
      </c>
      <c r="C28" s="5"/>
      <c r="D28" s="4"/>
      <c r="E28" s="4"/>
      <c r="F28" s="4"/>
      <c r="G28" s="4"/>
      <c r="H28" s="2">
        <f>IF(C28&lt;&gt;"",C28,IF(B28=0,1, LEN(SUBSTITUTE(TEXT(ABS(B28),"0.################"),".","")) - IF(LEFT(TEXT(ABS(B28),"0.################"),1)="0",1,0)))</f>
        <v>6</v>
      </c>
      <c r="I28" s="2"/>
      <c r="J28" s="2"/>
    </row>
    <row r="29" spans="1:10" x14ac:dyDescent="0.35">
      <c r="A29" s="4" t="s">
        <v>49</v>
      </c>
      <c r="B29" s="6">
        <v>116.36499999999999</v>
      </c>
      <c r="C29" s="5"/>
      <c r="D29" s="4"/>
      <c r="E29" s="4"/>
      <c r="F29" s="4"/>
      <c r="G29" s="4"/>
      <c r="H29" s="2">
        <f>IF(C29&lt;&gt;"",C29,IF(B29=0,1, LEN(SUBSTITUTE(TEXT(ABS(B29),"0.################"),".","")) - IF(LEFT(TEXT(ABS(B29),"0.################"),1)="0",1,0)))</f>
        <v>6</v>
      </c>
      <c r="I29" s="2"/>
      <c r="J29" s="2"/>
    </row>
    <row r="30" spans="1:10" x14ac:dyDescent="0.35">
      <c r="A30" s="4" t="s">
        <v>50</v>
      </c>
      <c r="B30" s="6">
        <v>116.059</v>
      </c>
      <c r="C30" s="5"/>
      <c r="D30" s="4"/>
      <c r="E30" s="4"/>
      <c r="F30" s="4"/>
      <c r="G30" s="4"/>
      <c r="H30" s="2">
        <f>IF(C30&lt;&gt;"",C30,IF(B30=0,1, LEN(SUBSTITUTE(TEXT(ABS(B30),"0.################"),".","")) - IF(LEFT(TEXT(ABS(B30),"0.################"),1)="0",1,0)))</f>
        <v>6</v>
      </c>
      <c r="I30" s="2"/>
      <c r="J30" s="2"/>
    </row>
    <row r="31" spans="1:10" x14ac:dyDescent="0.35">
      <c r="A31" s="4" t="s">
        <v>51</v>
      </c>
      <c r="B31" s="6">
        <v>116.063</v>
      </c>
      <c r="C31" s="5"/>
      <c r="D31" s="4"/>
      <c r="E31" s="4"/>
      <c r="F31" s="4"/>
      <c r="G31" s="4"/>
      <c r="H31" s="2">
        <f>IF(C31&lt;&gt;"",C31,IF(B31=0,1, LEN(SUBSTITUTE(TEXT(ABS(B31),"0.################"),".","")) - IF(LEFT(TEXT(ABS(B31),"0.################"),1)="0",1,0)))</f>
        <v>6</v>
      </c>
      <c r="I31" s="2"/>
      <c r="J31" s="2"/>
    </row>
    <row r="32" spans="1:10" ht="29" x14ac:dyDescent="0.35">
      <c r="A32" s="4" t="s">
        <v>52</v>
      </c>
      <c r="B32" s="6"/>
      <c r="C32" s="5"/>
      <c r="D32" s="4"/>
      <c r="E32" s="4"/>
      <c r="F32" s="4"/>
      <c r="G32" s="4"/>
      <c r="H32" s="2">
        <f>IF(C32&lt;&gt;"",C32,IF(B32=0,1, LEN(SUBSTITUTE(TEXT(ABS(B32),"0.################"),".","")) - IF(LEFT(TEXT(ABS(B32),"0.################"),1)="0",1,0)))</f>
        <v>1</v>
      </c>
      <c r="I32" s="2"/>
      <c r="J32" s="2"/>
    </row>
    <row r="33" spans="1:10" x14ac:dyDescent="0.35">
      <c r="A33" s="4" t="s">
        <v>53</v>
      </c>
      <c r="B33" s="4"/>
      <c r="C33" s="4"/>
      <c r="D33" s="5">
        <f>IF(B32&lt;&gt;"",B32,IF(B31&lt;&gt;"",B31,B30))</f>
        <v>116.063</v>
      </c>
      <c r="E33" s="6">
        <f>IF(B32&lt;&gt;"",H32,IF(B31&lt;&gt;"",H31,H30))</f>
        <v>6</v>
      </c>
      <c r="F33" s="7" t="s">
        <v>21</v>
      </c>
      <c r="G33" s="4"/>
      <c r="H33" s="2"/>
      <c r="I33" s="2"/>
      <c r="J33" s="2"/>
    </row>
    <row r="34" spans="1:10" x14ac:dyDescent="0.35">
      <c r="A34" s="4" t="s">
        <v>54</v>
      </c>
      <c r="B34" s="4"/>
      <c r="C34" s="4"/>
      <c r="D34" s="5">
        <f>D33-B28</f>
        <v>0.49500000000000455</v>
      </c>
      <c r="E34" s="6">
        <f>MIN(E33,H28)</f>
        <v>6</v>
      </c>
      <c r="F34" s="7" t="s">
        <v>55</v>
      </c>
      <c r="G34" s="4"/>
      <c r="H34" s="2"/>
      <c r="I34" s="2"/>
      <c r="J34" s="2"/>
    </row>
    <row r="35" spans="1:10" x14ac:dyDescent="0.35">
      <c r="A35" s="4" t="s">
        <v>56</v>
      </c>
      <c r="B35" s="4"/>
      <c r="C35" s="4"/>
      <c r="D35" s="5">
        <f>D34/$J$5</f>
        <v>3.4506796793308094E-3</v>
      </c>
      <c r="E35" s="6">
        <f>E34</f>
        <v>6</v>
      </c>
      <c r="F35" s="7" t="s">
        <v>57</v>
      </c>
      <c r="G35" s="4"/>
      <c r="H35" s="2"/>
      <c r="I35" s="2"/>
      <c r="J35" s="2"/>
    </row>
    <row r="36" spans="1:10" x14ac:dyDescent="0.35">
      <c r="A36" s="4" t="s">
        <v>58</v>
      </c>
      <c r="B36" s="4"/>
      <c r="C36" s="4"/>
      <c r="D36" s="5">
        <f>(B29-D33)/(2*$J$4)</f>
        <v>1.8897677212654717E-3</v>
      </c>
      <c r="E36" s="6">
        <f>MIN(H29,E33)</f>
        <v>6</v>
      </c>
      <c r="F36" s="7" t="s">
        <v>59</v>
      </c>
      <c r="G36" s="4" t="s">
        <v>60</v>
      </c>
      <c r="H36" s="2"/>
      <c r="I36" s="2"/>
      <c r="J36" s="2"/>
    </row>
    <row r="37" spans="1:10" x14ac:dyDescent="0.35">
      <c r="A37" s="4" t="s">
        <v>61</v>
      </c>
      <c r="B37" s="4"/>
      <c r="C37" s="4"/>
      <c r="D37" s="5">
        <f>D35/(D35+2*D36)</f>
        <v>0.47725823107214443</v>
      </c>
      <c r="E37" s="6">
        <f>MIN(E35,E36)</f>
        <v>6</v>
      </c>
      <c r="F37" s="7" t="s">
        <v>62</v>
      </c>
      <c r="G37" s="4"/>
      <c r="H37" s="2"/>
      <c r="I37" s="2"/>
      <c r="J37" s="2"/>
    </row>
    <row r="38" spans="1:10" x14ac:dyDescent="0.35">
      <c r="A38" s="4" t="s">
        <v>63</v>
      </c>
      <c r="B38" s="4"/>
      <c r="C38" s="4"/>
      <c r="D38" s="5" t="str">
        <f>IF(D37&gt;0,"CuBr"&amp;TEXT(ROUND(1/D37,0),"0"),"")</f>
        <v>CuBr2</v>
      </c>
      <c r="E38" s="6">
        <v>1</v>
      </c>
      <c r="F38" s="7" t="s">
        <v>64</v>
      </c>
      <c r="G38" s="4"/>
      <c r="H38" s="2"/>
      <c r="I38" s="2"/>
      <c r="J38" s="2"/>
    </row>
    <row r="43" spans="1:10" x14ac:dyDescent="0.35">
      <c r="B43">
        <f>B29-B28</f>
        <v>0.79699999999999704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Dreyer</dc:creator>
  <cp:lastModifiedBy>David Dreyer</cp:lastModifiedBy>
  <dcterms:created xsi:type="dcterms:W3CDTF">2026-01-19T07:46:56Z</dcterms:created>
  <dcterms:modified xsi:type="dcterms:W3CDTF">2026-01-24T17:37:59Z</dcterms:modified>
</cp:coreProperties>
</file>