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9" documentId="8_{6E797440-66BC-4FAD-A409-88B3CE5CBCA1}" xr6:coauthVersionLast="47" xr6:coauthVersionMax="47" xr10:uidLastSave="{68982F36-F4D5-469F-B649-E10F4665376A}"/>
  <bookViews>
    <workbookView xWindow="-110" yWindow="-110" windowWidth="22180" windowHeight="14140" xr2:uid="{CEA68759-1D4D-45E1-8266-76C8A23F7C16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38" i="1"/>
  <c r="D37" i="1"/>
  <c r="C37" i="1"/>
  <c r="D36" i="1"/>
  <c r="C36" i="1"/>
  <c r="D35" i="1"/>
  <c r="C35" i="1"/>
  <c r="D34" i="1"/>
  <c r="C34" i="1"/>
  <c r="D33" i="1"/>
  <c r="C33" i="1"/>
  <c r="G32" i="1"/>
  <c r="G31" i="1"/>
  <c r="G30" i="1"/>
  <c r="G29" i="1"/>
  <c r="G28" i="1"/>
  <c r="C23" i="1"/>
  <c r="C21" i="1"/>
  <c r="C13" i="1"/>
  <c r="C12" i="1"/>
  <c r="C14" i="1" s="1"/>
  <c r="C15" i="1" s="1"/>
  <c r="C17" i="1" s="1"/>
  <c r="G11" i="1"/>
  <c r="D23" i="1" s="1"/>
  <c r="G10" i="1"/>
  <c r="G9" i="1"/>
  <c r="D12" i="1" s="1"/>
  <c r="D14" i="1" s="1"/>
  <c r="G8" i="1"/>
  <c r="G7" i="1"/>
  <c r="D13" i="1" s="1"/>
  <c r="G6" i="1"/>
  <c r="G5" i="1"/>
  <c r="D21" i="1" s="1"/>
  <c r="C20" i="1" l="1"/>
  <c r="C22" i="1" s="1"/>
  <c r="C24" i="1" s="1"/>
  <c r="C25" i="1" s="1"/>
  <c r="C16" i="1"/>
  <c r="C18" i="1" s="1"/>
  <c r="C19" i="1" s="1"/>
  <c r="D20" i="1"/>
  <c r="D22" i="1" s="1"/>
  <c r="D24" i="1" s="1"/>
  <c r="D25" i="1" s="1"/>
  <c r="D16" i="1"/>
  <c r="D15" i="1"/>
  <c r="D17" i="1" s="1"/>
  <c r="D18" i="1" l="1"/>
</calcChain>
</file>

<file path=xl/sharedStrings.xml><?xml version="1.0" encoding="utf-8"?>
<sst xmlns="http://schemas.openxmlformats.org/spreadsheetml/2006/main" count="66" uniqueCount="64">
  <si>
    <t>Molar mass Cu (g/mol)</t>
  </si>
  <si>
    <t>Molar mass S (g/mol)</t>
  </si>
  <si>
    <t>Molar mass Br (g/mol)</t>
  </si>
  <si>
    <t>Molar mass CuBr (g/mol)</t>
  </si>
  <si>
    <t>Density Cu (g/cm^3)</t>
  </si>
  <si>
    <t>Data Sheet Laboratory #2: Stoichiometry</t>
  </si>
  <si>
    <t>Measurement / Step</t>
  </si>
  <si>
    <t>Result</t>
  </si>
  <si>
    <t>Sig figs</t>
  </si>
  <si>
    <t>Calculation Shown</t>
  </si>
  <si>
    <t>Explanation</t>
  </si>
  <si>
    <t>1. Copper and Sulfur</t>
  </si>
  <si>
    <t>Diameter of copper wire (cm)</t>
  </si>
  <si>
    <t>Mass of empty crucible (g)</t>
  </si>
  <si>
    <t>Mass of crucible plus copper (g)</t>
  </si>
  <si>
    <t>Mass of crucible and product after 1st heating (g)</t>
  </si>
  <si>
    <t>Mass of crucible and product after 2nd heating (g)</t>
  </si>
  <si>
    <t>Mass of crucible and product after 3rd heating (g) (if required)</t>
  </si>
  <si>
    <t>Diameter of product wire (cm)</t>
  </si>
  <si>
    <t>Final mass of crucible + product (g)</t>
  </si>
  <si>
    <t>last nonblank heating mass</t>
  </si>
  <si>
    <t>Mass of copper (g)</t>
  </si>
  <si>
    <t>mass Cu = (crucible+Cu) - (empty crucible)</t>
  </si>
  <si>
    <t>Mass of product (g)</t>
  </si>
  <si>
    <t>mass product = (final crucible+product) - (empty crucible)</t>
  </si>
  <si>
    <t>Mass of sulfur that combined with the copper (g)</t>
  </si>
  <si>
    <t>mass S = mass product - mass Cu</t>
  </si>
  <si>
    <t>Moles of Cu (mol)</t>
  </si>
  <si>
    <t>n(Cu) = mass Cu / 63.546</t>
  </si>
  <si>
    <t>Moles of S (mol)</t>
  </si>
  <si>
    <t>n(S) = mass S / 32.065</t>
  </si>
  <si>
    <t>Ratio of moles of copper to moles of sulfur (all sig. figs.)</t>
  </si>
  <si>
    <t>n(Cu)/n(S)</t>
  </si>
  <si>
    <t>Empirical formula for CuxS (one sig. fig.)</t>
  </si>
  <si>
    <t>x = n(Cu)/n(S); round x to 1 sig fig</t>
  </si>
  <si>
    <t>Volume of copper (cm^3) using densityCu = 8.90 g/cm^3</t>
  </si>
  <si>
    <t>V(Cu) = mass Cu / 8.90</t>
  </si>
  <si>
    <t>Area of Cu wire (cm^2)</t>
  </si>
  <si>
    <t>A = pi*(d/2)^2</t>
  </si>
  <si>
    <t>Length of Cu wire (cm)</t>
  </si>
  <si>
    <t>length = V(Cu)/A</t>
  </si>
  <si>
    <t>Area of product wire (cm^2)</t>
  </si>
  <si>
    <t>Volume of product (cm^3)</t>
  </si>
  <si>
    <t>V(product) = area(product) * length</t>
  </si>
  <si>
    <t>Density of product (g/cm^3)</t>
  </si>
  <si>
    <t>density = mass / volume</t>
  </si>
  <si>
    <t>2. Decomposition of CuBrx</t>
  </si>
  <si>
    <t>Mass of empty flask (g)</t>
  </si>
  <si>
    <t>Mass of flask plus copper bromide (g)</t>
  </si>
  <si>
    <t>Mass of flask plus decomposed copper bromide 1st weighing (g)</t>
  </si>
  <si>
    <t>Mass of flask plus decomposed copper bromide 2nd weighing (g)</t>
  </si>
  <si>
    <t>Mass of flask plus decomposed copper bromide 3rd weighing (g) (if required)</t>
  </si>
  <si>
    <t>Final mass of flask + decomposed CuBr (g)</t>
  </si>
  <si>
    <t>Mass of decomposed copper bromide (g)</t>
  </si>
  <si>
    <t>mass CuBr = (final flask+CuBr) - (empty flask)</t>
  </si>
  <si>
    <t>Number of moles of decomposed copper(I) bromide (n CuBr)</t>
  </si>
  <si>
    <t>n(CuBr) = mass CuBr / 143.45</t>
  </si>
  <si>
    <t>Number of moles of bromine gas given off (n Br2)</t>
  </si>
  <si>
    <t>n(Br2) = mass lost / (2*79.904)</t>
  </si>
  <si>
    <t>mass lost = initial CuBrx - final CuBr</t>
  </si>
  <si>
    <t>Ratio of moles of Cu to moles of Br in CuBrx (all sig. figs.)</t>
  </si>
  <si>
    <t>n(Cu)/n(Br) = n(CuBr) / (n(CuBr) + 2*n(Br2))</t>
  </si>
  <si>
    <t>Empirical formula for CuBrx (one sig. fig.)</t>
  </si>
  <si>
    <t>x = n(Br)/n(Cu); round to 1 sig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</si>
</sst>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AF40-BE1E-4118-BC5A-C479DCD5219F}">
  <dimension ref="A1:I38"/>
  <sheetViews>
    <sheetView tabSelected="1" topLeftCell="A11" zoomScale="92" workbookViewId="0">
      <selection activeCell="C23" sqref="C23"/>
    </sheetView>
  </sheetViews>
  <sheetFormatPr defaultRowHeight="14.5" x14ac:dyDescent="0.35"/>
  <cols>
    <col min="1" max="1" width="54.6328125" customWidth="1"/>
    <col min="2" max="3" width="18.6328125" customWidth="1"/>
    <col min="4" max="4" width="10.6328125" customWidth="1"/>
    <col min="5" max="5" width="46.6328125" customWidth="1"/>
    <col min="6" max="6" width="38.6328125" customWidth="1"/>
    <col min="7" max="7" width="0.453125" customWidth="1"/>
    <col min="8" max="8" width="0.7265625" customWidth="1"/>
    <col min="9" max="9" width="0.81640625" customWidth="1"/>
  </cols>
  <sheetData>
    <row r="1" spans="1:9" ht="18.5" x14ac:dyDescent="0.35">
      <c r="A1" s="1" t="s">
        <v>5</v>
      </c>
      <c r="B1" s="2"/>
      <c r="C1" s="2"/>
      <c r="D1" s="2"/>
      <c r="E1" s="2"/>
      <c r="F1" s="2"/>
      <c r="G1" s="2"/>
      <c r="H1" s="2"/>
      <c r="I1" s="2"/>
    </row>
    <row r="2" spans="1:9" ht="43.5" x14ac:dyDescent="0.35">
      <c r="A2" s="2"/>
      <c r="B2" s="2"/>
      <c r="C2" s="2"/>
      <c r="D2" s="2"/>
      <c r="E2" s="2"/>
      <c r="F2" s="2"/>
      <c r="G2" s="2"/>
      <c r="H2" s="2" t="s">
        <v>0</v>
      </c>
      <c r="I2" s="2">
        <v>63.545999999999999</v>
      </c>
    </row>
    <row r="3" spans="1:9" ht="43.5" x14ac:dyDescent="0.35">
      <c r="A3" s="3" t="s">
        <v>6</v>
      </c>
      <c r="B3" s="4"/>
      <c r="C3" s="5" t="s">
        <v>7</v>
      </c>
      <c r="D3" s="6" t="s">
        <v>8</v>
      </c>
      <c r="E3" s="7" t="s">
        <v>9</v>
      </c>
      <c r="F3" s="4" t="s">
        <v>10</v>
      </c>
      <c r="G3" s="2"/>
      <c r="H3" s="2" t="s">
        <v>1</v>
      </c>
      <c r="I3" s="2">
        <v>32.064999999999998</v>
      </c>
    </row>
    <row r="4" spans="1:9" ht="43.5" x14ac:dyDescent="0.35">
      <c r="A4" s="8" t="s">
        <v>11</v>
      </c>
      <c r="B4" s="4"/>
      <c r="C4" s="4"/>
      <c r="D4" s="4"/>
      <c r="E4" s="4"/>
      <c r="F4" s="4"/>
      <c r="G4" s="2"/>
      <c r="H4" s="2" t="s">
        <v>2</v>
      </c>
      <c r="I4" s="2">
        <v>79.903999999999996</v>
      </c>
    </row>
    <row r="5" spans="1:9" ht="58" x14ac:dyDescent="0.35">
      <c r="A5" s="4" t="s">
        <v>12</v>
      </c>
      <c r="B5" s="6">
        <f>0.08</f>
        <v>0.08</v>
      </c>
      <c r="C5" s="4"/>
      <c r="D5" s="4"/>
      <c r="E5" s="4"/>
      <c r="F5" s="4"/>
      <c r="G5" s="2">
        <f t="shared" ref="G5:G11" si="0">IF(B5=0,1, LEN(SUBSTITUTE(TEXT(ABS(B5),"0.################"),".","")) - IF(LEFT(TEXT(ABS(B5),"0.################"),1)="0",1,0))</f>
        <v>2</v>
      </c>
      <c r="H5" s="2" t="s">
        <v>3</v>
      </c>
      <c r="I5" s="2">
        <v>143.44999999999999</v>
      </c>
    </row>
    <row r="6" spans="1:9" ht="43.5" x14ac:dyDescent="0.35">
      <c r="A6" s="4" t="s">
        <v>13</v>
      </c>
      <c r="B6" s="6">
        <v>24.731999999999999</v>
      </c>
      <c r="C6" s="4"/>
      <c r="D6" s="4"/>
      <c r="E6" s="4"/>
      <c r="F6" s="4"/>
      <c r="G6" s="2">
        <f t="shared" si="0"/>
        <v>5</v>
      </c>
      <c r="H6" s="2" t="s">
        <v>4</v>
      </c>
      <c r="I6" s="2">
        <v>8.9</v>
      </c>
    </row>
    <row r="7" spans="1:9" x14ac:dyDescent="0.35">
      <c r="A7" s="4" t="s">
        <v>14</v>
      </c>
      <c r="B7" s="6">
        <v>25.812000000000001</v>
      </c>
      <c r="C7" s="4"/>
      <c r="D7" s="4"/>
      <c r="E7" s="4"/>
      <c r="F7" s="4"/>
      <c r="G7" s="2">
        <f t="shared" si="0"/>
        <v>5</v>
      </c>
      <c r="H7" s="2"/>
      <c r="I7" s="2"/>
    </row>
    <row r="8" spans="1:9" x14ac:dyDescent="0.35">
      <c r="A8" s="4" t="s">
        <v>15</v>
      </c>
      <c r="B8" s="6">
        <v>26.256</v>
      </c>
      <c r="C8" s="4"/>
      <c r="D8" s="4"/>
      <c r="E8" s="4"/>
      <c r="F8" s="4"/>
      <c r="G8" s="2">
        <f t="shared" si="0"/>
        <v>5</v>
      </c>
      <c r="H8" s="2"/>
      <c r="I8" s="2"/>
    </row>
    <row r="9" spans="1:9" x14ac:dyDescent="0.35">
      <c r="A9" s="4" t="s">
        <v>16</v>
      </c>
      <c r="B9" s="6">
        <v>26.26</v>
      </c>
      <c r="C9" s="4"/>
      <c r="D9" s="4"/>
      <c r="E9" s="4"/>
      <c r="F9" s="4"/>
      <c r="G9" s="2">
        <f t="shared" si="0"/>
        <v>4</v>
      </c>
      <c r="H9" s="2"/>
      <c r="I9" s="2"/>
    </row>
    <row r="10" spans="1:9" x14ac:dyDescent="0.35">
      <c r="A10" s="4" t="s">
        <v>17</v>
      </c>
      <c r="B10" s="6"/>
      <c r="C10" s="4"/>
      <c r="D10" s="4"/>
      <c r="E10" s="4"/>
      <c r="F10" s="4"/>
      <c r="G10" s="2">
        <f t="shared" si="0"/>
        <v>1</v>
      </c>
      <c r="H10" s="2"/>
      <c r="I10" s="2"/>
    </row>
    <row r="11" spans="1:9" x14ac:dyDescent="0.35">
      <c r="A11" s="4" t="s">
        <v>18</v>
      </c>
      <c r="B11" s="6">
        <v>0.09</v>
      </c>
      <c r="C11" s="4"/>
      <c r="D11" s="4"/>
      <c r="E11" s="4"/>
      <c r="F11" s="4"/>
      <c r="G11" s="2">
        <f t="shared" si="0"/>
        <v>2</v>
      </c>
      <c r="H11" s="2"/>
      <c r="I11" s="2"/>
    </row>
    <row r="12" spans="1:9" x14ac:dyDescent="0.35">
      <c r="A12" s="4" t="s">
        <v>19</v>
      </c>
      <c r="B12" s="4"/>
      <c r="C12" s="5">
        <f>IF(B10&lt;&gt;"",B10,IF(B9&lt;&gt;"",B9,B8))</f>
        <v>26.26</v>
      </c>
      <c r="D12" s="6">
        <f>IF(B10&lt;&gt;"",G10,IF(B9&lt;&gt;"",G9,G8))</f>
        <v>4</v>
      </c>
      <c r="E12" s="7" t="s">
        <v>20</v>
      </c>
      <c r="F12" s="4"/>
      <c r="G12" s="2"/>
      <c r="H12" s="2"/>
      <c r="I12" s="2"/>
    </row>
    <row r="13" spans="1:9" x14ac:dyDescent="0.35">
      <c r="A13" s="4" t="s">
        <v>21</v>
      </c>
      <c r="B13" s="4"/>
      <c r="C13" s="5">
        <f>B7-B6</f>
        <v>1.0800000000000018</v>
      </c>
      <c r="D13" s="6">
        <f>MIN(G7,G6)</f>
        <v>5</v>
      </c>
      <c r="E13" s="7" t="s">
        <v>22</v>
      </c>
      <c r="F13" s="4"/>
      <c r="G13" s="2"/>
      <c r="H13" s="2"/>
      <c r="I13" s="2"/>
    </row>
    <row r="14" spans="1:9" ht="29" x14ac:dyDescent="0.35">
      <c r="A14" s="4" t="s">
        <v>23</v>
      </c>
      <c r="B14" s="4"/>
      <c r="C14" s="5">
        <f>C12-B6</f>
        <v>1.5280000000000022</v>
      </c>
      <c r="D14" s="6">
        <f>MIN(D12,G6)</f>
        <v>4</v>
      </c>
      <c r="E14" s="7" t="s">
        <v>24</v>
      </c>
      <c r="F14" s="4"/>
      <c r="G14" s="2"/>
      <c r="H14" s="2"/>
      <c r="I14" s="2"/>
    </row>
    <row r="15" spans="1:9" x14ac:dyDescent="0.35">
      <c r="A15" s="4" t="s">
        <v>25</v>
      </c>
      <c r="B15" s="4"/>
      <c r="C15" s="5">
        <f>C14-C13</f>
        <v>0.4480000000000004</v>
      </c>
      <c r="D15" s="6">
        <f>MIN(D14,D13)</f>
        <v>4</v>
      </c>
      <c r="E15" s="7" t="s">
        <v>26</v>
      </c>
      <c r="F15" s="4"/>
      <c r="G15" s="2"/>
      <c r="H15" s="2"/>
      <c r="I15" s="2"/>
    </row>
    <row r="16" spans="1:9" x14ac:dyDescent="0.35">
      <c r="A16" s="4" t="s">
        <v>27</v>
      </c>
      <c r="B16" s="4"/>
      <c r="C16" s="5">
        <f>C13/$I$2</f>
        <v>1.6995562269851789E-2</v>
      </c>
      <c r="D16" s="6">
        <f>D13</f>
        <v>5</v>
      </c>
      <c r="E16" s="7" t="s">
        <v>28</v>
      </c>
      <c r="F16" s="4"/>
      <c r="G16" s="2"/>
      <c r="H16" s="2"/>
      <c r="I16" s="2"/>
    </row>
    <row r="17" spans="1:9" x14ac:dyDescent="0.35">
      <c r="A17" s="4" t="s">
        <v>29</v>
      </c>
      <c r="B17" s="4"/>
      <c r="C17" s="5">
        <f>C15/$I$3</f>
        <v>1.3971620146577279E-2</v>
      </c>
      <c r="D17" s="6">
        <f>D15</f>
        <v>4</v>
      </c>
      <c r="E17" s="7" t="s">
        <v>30</v>
      </c>
      <c r="F17" s="4"/>
      <c r="G17" s="2"/>
      <c r="H17" s="2"/>
      <c r="I17" s="2"/>
    </row>
    <row r="18" spans="1:9" x14ac:dyDescent="0.35">
      <c r="A18" s="4" t="s">
        <v>31</v>
      </c>
      <c r="B18" s="4"/>
      <c r="C18" s="5">
        <f>C16/C17</f>
        <v>1.2164346075508863</v>
      </c>
      <c r="D18" s="6">
        <f>MIN(D16,D17)</f>
        <v>4</v>
      </c>
      <c r="E18" s="7" t="s">
        <v>32</v>
      </c>
      <c r="F18" s="4"/>
      <c r="G18" s="2"/>
      <c r="H18" s="2"/>
      <c r="I18" s="2"/>
    </row>
    <row r="19" spans="1:9" x14ac:dyDescent="0.35">
      <c r="A19" s="4" t="s">
        <v>33</v>
      </c>
      <c r="B19" s="4"/>
      <c r="C19" s="5" t="str">
        <f>IF(C18&gt;0,"Cu"&amp;TEXT(ROUND(C18,0),"0")&amp;"S","")</f>
        <v>Cu1S</v>
      </c>
      <c r="D19" s="6">
        <v>1</v>
      </c>
      <c r="E19" s="7" t="s">
        <v>34</v>
      </c>
      <c r="F19" s="4"/>
      <c r="G19" s="2"/>
      <c r="H19" s="2"/>
      <c r="I19" s="2"/>
    </row>
    <row r="20" spans="1:9" x14ac:dyDescent="0.35">
      <c r="A20" s="4" t="s">
        <v>35</v>
      </c>
      <c r="B20" s="4"/>
      <c r="C20" s="5">
        <f>C13/$I$6</f>
        <v>0.12134831460674178</v>
      </c>
      <c r="D20" s="6">
        <f>D13</f>
        <v>5</v>
      </c>
      <c r="E20" s="7" t="s">
        <v>36</v>
      </c>
      <c r="F20" s="4"/>
      <c r="G20" s="2"/>
      <c r="H20" s="2"/>
      <c r="I20" s="2"/>
    </row>
    <row r="21" spans="1:9" x14ac:dyDescent="0.35">
      <c r="A21" s="4" t="s">
        <v>37</v>
      </c>
      <c r="B21" s="4"/>
      <c r="C21" s="5">
        <f>PI()*(B5/2)^2</f>
        <v>5.0265482457436689E-3</v>
      </c>
      <c r="D21" s="6">
        <f>G5</f>
        <v>2</v>
      </c>
      <c r="E21" s="7" t="s">
        <v>38</v>
      </c>
      <c r="F21" s="4"/>
      <c r="G21" s="2"/>
      <c r="H21" s="2"/>
      <c r="I21" s="2"/>
    </row>
    <row r="22" spans="1:9" x14ac:dyDescent="0.35">
      <c r="A22" s="4" t="s">
        <v>39</v>
      </c>
      <c r="B22" s="4"/>
      <c r="C22" s="5">
        <f>C20/C21</f>
        <v>24.141480131916751</v>
      </c>
      <c r="D22" s="6">
        <f>MIN(D20,D21)</f>
        <v>2</v>
      </c>
      <c r="E22" s="7" t="s">
        <v>40</v>
      </c>
      <c r="F22" s="4"/>
      <c r="G22" s="2"/>
      <c r="H22" s="2"/>
      <c r="I22" s="2"/>
    </row>
    <row r="23" spans="1:9" x14ac:dyDescent="0.35">
      <c r="A23" s="4" t="s">
        <v>41</v>
      </c>
      <c r="B23" s="4"/>
      <c r="C23" s="5">
        <f>PI()*(B11/2)^2</f>
        <v>6.3617251235193305E-3</v>
      </c>
      <c r="D23" s="6">
        <f>G11</f>
        <v>2</v>
      </c>
      <c r="E23" s="7" t="s">
        <v>38</v>
      </c>
      <c r="F23" s="4"/>
      <c r="G23" s="2"/>
      <c r="H23" s="2"/>
      <c r="I23" s="2"/>
    </row>
    <row r="24" spans="1:9" x14ac:dyDescent="0.35">
      <c r="A24" s="4" t="s">
        <v>42</v>
      </c>
      <c r="B24" s="4"/>
      <c r="C24" s="5">
        <f>C23*C22</f>
        <v>0.15358146067415757</v>
      </c>
      <c r="D24" s="6">
        <f>MIN(D23,D22)</f>
        <v>2</v>
      </c>
      <c r="E24" s="7" t="s">
        <v>43</v>
      </c>
      <c r="F24" s="4"/>
      <c r="G24" s="2"/>
      <c r="H24" s="2"/>
      <c r="I24" s="2"/>
    </row>
    <row r="25" spans="1:9" x14ac:dyDescent="0.35">
      <c r="A25" s="4" t="s">
        <v>44</v>
      </c>
      <c r="B25" s="4"/>
      <c r="C25" s="5">
        <f>C14/C24</f>
        <v>9.9491175125743005</v>
      </c>
      <c r="D25" s="6">
        <f>MIN(D14,D24)</f>
        <v>2</v>
      </c>
      <c r="E25" s="7" t="s">
        <v>45</v>
      </c>
      <c r="F25" s="4"/>
      <c r="G25" s="2"/>
      <c r="H25" s="2"/>
      <c r="I25" s="2"/>
    </row>
    <row r="26" spans="1:9" x14ac:dyDescent="0.35">
      <c r="A26" s="4"/>
      <c r="B26" s="4"/>
      <c r="C26" s="4"/>
      <c r="D26" s="4"/>
      <c r="E26" s="4"/>
      <c r="F26" s="4"/>
      <c r="G26" s="2"/>
      <c r="H26" s="2"/>
      <c r="I26" s="2"/>
    </row>
    <row r="27" spans="1:9" ht="16" x14ac:dyDescent="0.35">
      <c r="A27" s="8" t="s">
        <v>46</v>
      </c>
      <c r="B27" s="4"/>
      <c r="C27" s="4"/>
      <c r="D27" s="4"/>
      <c r="E27" s="4"/>
      <c r="F27" s="4"/>
      <c r="G27" s="2"/>
      <c r="H27" s="2"/>
      <c r="I27" s="2"/>
    </row>
    <row r="28" spans="1:9" x14ac:dyDescent="0.35">
      <c r="A28" s="4" t="s">
        <v>47</v>
      </c>
      <c r="B28" s="6"/>
      <c r="C28" s="4"/>
      <c r="D28" s="4"/>
      <c r="E28" s="4"/>
      <c r="F28" s="4"/>
      <c r="G28" s="2">
        <f>IF(B28=0,1, LEN(SUBSTITUTE(TEXT(ABS(B28),"0.################"),".","")) - IF(LEFT(TEXT(ABS(B28),"0.################"),1)="0",1,0))</f>
        <v>1</v>
      </c>
      <c r="H28" s="2"/>
      <c r="I28" s="2"/>
    </row>
    <row r="29" spans="1:9" x14ac:dyDescent="0.35">
      <c r="A29" s="4" t="s">
        <v>48</v>
      </c>
      <c r="B29" s="6"/>
      <c r="C29" s="4"/>
      <c r="D29" s="4"/>
      <c r="E29" s="4"/>
      <c r="F29" s="4"/>
      <c r="G29" s="2">
        <f>IF(B29=0,1, LEN(SUBSTITUTE(TEXT(ABS(B29),"0.################"),".","")) - IF(LEFT(TEXT(ABS(B29),"0.################"),1)="0",1,0))</f>
        <v>1</v>
      </c>
      <c r="H29" s="2"/>
      <c r="I29" s="2"/>
    </row>
    <row r="30" spans="1:9" x14ac:dyDescent="0.35">
      <c r="A30" s="4" t="s">
        <v>49</v>
      </c>
      <c r="B30" s="6"/>
      <c r="C30" s="4"/>
      <c r="D30" s="4"/>
      <c r="E30" s="4"/>
      <c r="F30" s="4"/>
      <c r="G30" s="2">
        <f>IF(B30=0,1, LEN(SUBSTITUTE(TEXT(ABS(B30),"0.################"),".","")) - IF(LEFT(TEXT(ABS(B30),"0.################"),1)="0",1,0))</f>
        <v>1</v>
      </c>
      <c r="H30" s="2"/>
      <c r="I30" s="2"/>
    </row>
    <row r="31" spans="1:9" x14ac:dyDescent="0.35">
      <c r="A31" s="4" t="s">
        <v>50</v>
      </c>
      <c r="B31" s="6"/>
      <c r="C31" s="4"/>
      <c r="D31" s="4"/>
      <c r="E31" s="4"/>
      <c r="F31" s="4"/>
      <c r="G31" s="2">
        <f>IF(B31=0,1, LEN(SUBSTITUTE(TEXT(ABS(B31),"0.################"),".","")) - IF(LEFT(TEXT(ABS(B31),"0.################"),1)="0",1,0))</f>
        <v>1</v>
      </c>
      <c r="H31" s="2"/>
      <c r="I31" s="2"/>
    </row>
    <row r="32" spans="1:9" ht="29" x14ac:dyDescent="0.35">
      <c r="A32" s="4" t="s">
        <v>51</v>
      </c>
      <c r="B32" s="6"/>
      <c r="C32" s="4"/>
      <c r="D32" s="4"/>
      <c r="E32" s="4"/>
      <c r="F32" s="4"/>
      <c r="G32" s="2">
        <f>IF(B32=0,1, LEN(SUBSTITUTE(TEXT(ABS(B32),"0.################"),".","")) - IF(LEFT(TEXT(ABS(B32),"0.################"),1)="0",1,0))</f>
        <v>1</v>
      </c>
      <c r="H32" s="2"/>
      <c r="I32" s="2"/>
    </row>
    <row r="33" spans="1:9" x14ac:dyDescent="0.35">
      <c r="A33" s="4" t="s">
        <v>52</v>
      </c>
      <c r="B33" s="4"/>
      <c r="C33" s="5">
        <f>IF(B32&lt;&gt;"",B32,IF(B31&lt;&gt;"",B31,B30))</f>
        <v>0</v>
      </c>
      <c r="D33" s="6">
        <f>IF(B32&lt;&gt;"",G32,IF(B31&lt;&gt;"",G31,G30))</f>
        <v>1</v>
      </c>
      <c r="E33" s="7" t="s">
        <v>20</v>
      </c>
      <c r="F33" s="4"/>
      <c r="G33" s="2"/>
      <c r="H33" s="2"/>
      <c r="I33" s="2"/>
    </row>
    <row r="34" spans="1:9" x14ac:dyDescent="0.35">
      <c r="A34" s="4" t="s">
        <v>53</v>
      </c>
      <c r="B34" s="4"/>
      <c r="C34" s="5">
        <f>C33-B28</f>
        <v>0</v>
      </c>
      <c r="D34" s="6">
        <f>MIN(D33,G28)</f>
        <v>1</v>
      </c>
      <c r="E34" s="7" t="s">
        <v>54</v>
      </c>
      <c r="F34" s="4"/>
      <c r="G34" s="2"/>
      <c r="H34" s="2"/>
      <c r="I34" s="2"/>
    </row>
    <row r="35" spans="1:9" x14ac:dyDescent="0.35">
      <c r="A35" s="4" t="s">
        <v>55</v>
      </c>
      <c r="B35" s="4"/>
      <c r="C35" s="5">
        <f>C34/$I$5</f>
        <v>0</v>
      </c>
      <c r="D35" s="6">
        <f>D34</f>
        <v>1</v>
      </c>
      <c r="E35" s="7" t="s">
        <v>56</v>
      </c>
      <c r="F35" s="4"/>
      <c r="G35" s="2"/>
      <c r="H35" s="2"/>
      <c r="I35" s="2"/>
    </row>
    <row r="36" spans="1:9" x14ac:dyDescent="0.35">
      <c r="A36" s="4" t="s">
        <v>57</v>
      </c>
      <c r="B36" s="4"/>
      <c r="C36" s="5">
        <f>(B29-C33)/(2*$I$4)</f>
        <v>0</v>
      </c>
      <c r="D36" s="6">
        <f>MIN(G29,D33)</f>
        <v>1</v>
      </c>
      <c r="E36" s="7" t="s">
        <v>58</v>
      </c>
      <c r="F36" s="4" t="s">
        <v>59</v>
      </c>
      <c r="G36" s="2"/>
      <c r="H36" s="2"/>
      <c r="I36" s="2"/>
    </row>
    <row r="37" spans="1:9" x14ac:dyDescent="0.35">
      <c r="A37" s="4" t="s">
        <v>60</v>
      </c>
      <c r="B37" s="4"/>
      <c r="C37" s="5" t="e">
        <f>C35/(C35+2*C36)</f>
        <v>#DIV/0!</v>
      </c>
      <c r="D37" s="6">
        <f>MIN(D35,D36)</f>
        <v>1</v>
      </c>
      <c r="E37" s="7" t="s">
        <v>61</v>
      </c>
      <c r="F37" s="4"/>
      <c r="G37" s="2"/>
      <c r="H37" s="2"/>
      <c r="I37" s="2"/>
    </row>
    <row r="38" spans="1:9" x14ac:dyDescent="0.35">
      <c r="A38" s="4" t="s">
        <v>62</v>
      </c>
      <c r="B38" s="4"/>
      <c r="C38" s="5" t="e">
        <f>IF(C37&gt;0,"CuBr"&amp;TEXT(ROUND(1/C37,0),"0"),"")</f>
        <v>#DIV/0!</v>
      </c>
      <c r="D38" s="6">
        <v>1</v>
      </c>
      <c r="E38" s="7" t="s">
        <v>63</v>
      </c>
      <c r="F38" s="4"/>
      <c r="G38" s="2"/>
      <c r="H38" s="2"/>
      <c r="I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2026-01-19T07:28:24Z</dcterms:created>
  <dcterms:modified xsi:type="dcterms:W3CDTF">2026-01-19T07:33:47Z</dcterms:modified>
</cp:coreProperties>
</file>