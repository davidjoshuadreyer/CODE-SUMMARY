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0406504\Desktop\Phys 104 Winter 2016\"/>
    </mc:Choice>
  </mc:AlternateContent>
  <bookViews>
    <workbookView xWindow="0" yWindow="0" windowWidth="18330" windowHeight="9765"/>
  </bookViews>
  <sheets>
    <sheet name="Method A" sheetId="4" r:id="rId1"/>
    <sheet name="Method B" sheetId="7" r:id="rId2"/>
  </sheets>
  <calcPr calcId="152511"/>
</workbook>
</file>

<file path=xl/calcChain.xml><?xml version="1.0" encoding="utf-8"?>
<calcChain xmlns="http://schemas.openxmlformats.org/spreadsheetml/2006/main">
  <c r="J29" i="7" l="1"/>
  <c r="K29" i="7"/>
  <c r="P30" i="7" s="1"/>
  <c r="P29" i="7"/>
  <c r="Q29" i="7"/>
  <c r="J30" i="7"/>
  <c r="K30" i="7"/>
  <c r="Q30" i="7"/>
  <c r="J34" i="7"/>
  <c r="K34" i="7"/>
  <c r="J35" i="7"/>
  <c r="K35" i="7"/>
  <c r="B60" i="7"/>
  <c r="J10" i="7" s="1"/>
  <c r="C60" i="7"/>
  <c r="K10" i="7" s="1"/>
  <c r="K23" i="7" l="1"/>
  <c r="K21" i="7"/>
  <c r="K19" i="7"/>
  <c r="K17" i="7"/>
  <c r="K15" i="7"/>
  <c r="K13" i="7"/>
  <c r="K11" i="7"/>
  <c r="M30" i="7" s="1"/>
  <c r="J23" i="7"/>
  <c r="J21" i="7"/>
  <c r="J19" i="7"/>
  <c r="J17" i="7"/>
  <c r="J15" i="7"/>
  <c r="J13" i="7"/>
  <c r="J11" i="7"/>
  <c r="K22" i="7"/>
  <c r="K12" i="7"/>
  <c r="L30" i="7" s="1"/>
  <c r="L34" i="7" s="1"/>
  <c r="K24" i="7"/>
  <c r="K20" i="7"/>
  <c r="K18" i="7"/>
  <c r="K16" i="7"/>
  <c r="K14" i="7"/>
  <c r="L29" i="7"/>
  <c r="J24" i="7"/>
  <c r="J22" i="7"/>
  <c r="J20" i="7"/>
  <c r="J18" i="7"/>
  <c r="J16" i="7"/>
  <c r="J14" i="7"/>
  <c r="J12" i="7"/>
  <c r="M29" i="7" s="1"/>
  <c r="R30" i="7" l="1"/>
  <c r="S29" i="7"/>
  <c r="M34" i="7"/>
  <c r="C62" i="7" s="1"/>
  <c r="B61" i="7"/>
  <c r="C61" i="7"/>
  <c r="S30" i="7"/>
  <c r="M35" i="7"/>
  <c r="R29" i="7"/>
  <c r="L35" i="7"/>
  <c r="B62" i="7" l="1"/>
</calcChain>
</file>

<file path=xl/sharedStrings.xml><?xml version="1.0" encoding="utf-8"?>
<sst xmlns="http://schemas.openxmlformats.org/spreadsheetml/2006/main" count="52" uniqueCount="39">
  <si>
    <t>Instructions</t>
  </si>
  <si>
    <t>You can leave cells blank as needed if you do not have enough data to fill out the table</t>
  </si>
  <si>
    <t>X-variable data</t>
  </si>
  <si>
    <t>Y-variable data</t>
  </si>
  <si>
    <t>First data point must go here</t>
  </si>
  <si>
    <t xml:space="preserve">1. Replace the data in the table below with your experimental data. Your first and last data points MUST go in the special cells indicated. </t>
  </si>
  <si>
    <t>Last data point must go here</t>
  </si>
  <si>
    <t>Input ONLY numerical data - Not units!</t>
  </si>
  <si>
    <t>Clear any cells that you don't need</t>
  </si>
  <si>
    <t>2. Scroll down so that you can see the graph below. Enter an appropriate graph title as well as x- and y- axis labels.</t>
  </si>
  <si>
    <t>x1</t>
  </si>
  <si>
    <t>y1</t>
  </si>
  <si>
    <t>x2</t>
  </si>
  <si>
    <t>y2</t>
  </si>
  <si>
    <t>Best Fit</t>
  </si>
  <si>
    <t>Maximum</t>
  </si>
  <si>
    <t>Minimum</t>
  </si>
  <si>
    <t>Slope</t>
  </si>
  <si>
    <t>Y-intercept</t>
  </si>
  <si>
    <t>X uncertainty</t>
  </si>
  <si>
    <t>Y uncertainty</t>
  </si>
  <si>
    <t>3.Record the values of the best fit, maximum and minimum slope and y-intercept values from the tables below</t>
  </si>
  <si>
    <t>Max</t>
  </si>
  <si>
    <t>Min</t>
  </si>
  <si>
    <t>Points for max and min slope lines</t>
  </si>
  <si>
    <t>Side Right</t>
  </si>
  <si>
    <t>Bot</t>
    <phoneticPr fontId="0" type="noConversion"/>
  </si>
  <si>
    <t>Side Left</t>
  </si>
  <si>
    <t>Top</t>
    <phoneticPr fontId="0" type="noConversion"/>
  </si>
  <si>
    <t>y2</t>
    <phoneticPr fontId="0" type="noConversion"/>
  </si>
  <si>
    <t>y1</t>
    <phoneticPr fontId="0" type="noConversion"/>
  </si>
  <si>
    <t>x2</t>
    <phoneticPr fontId="0" type="noConversion"/>
  </si>
  <si>
    <t>x1</t>
    <phoneticPr fontId="0" type="noConversion"/>
  </si>
  <si>
    <t>Points for boundary lines</t>
    <phoneticPr fontId="0" type="noConversion"/>
  </si>
  <si>
    <t>Bottom Deviation</t>
    <phoneticPr fontId="0" type="noConversion"/>
  </si>
  <si>
    <t>Top Deviation</t>
    <phoneticPr fontId="0" type="noConversion"/>
  </si>
  <si>
    <t>Input data in the order of increasing x values</t>
  </si>
  <si>
    <t>Physics 114 Graphing Spreadsheet - Including Uncertainties</t>
  </si>
  <si>
    <t>Physics 114 Graphing Spreadsheet - No Uncertainties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</si>
</sst>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2" borderId="13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0" fontId="0" fillId="2" borderId="6" xfId="0" applyFill="1" applyBorder="1"/>
    <xf numFmtId="0" fontId="0" fillId="2" borderId="0" xfId="0" applyFill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9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35" xfId="0" applyBorder="1"/>
    <xf numFmtId="0" fontId="0" fillId="0" borderId="35" xfId="0" applyBorder="1" applyProtection="1">
      <protection locked="0"/>
    </xf>
    <xf numFmtId="0" fontId="0" fillId="0" borderId="36" xfId="0" applyBorder="1"/>
    <xf numFmtId="0" fontId="0" fillId="0" borderId="37" xfId="0" applyBorder="1"/>
    <xf numFmtId="0" fontId="0" fillId="0" borderId="25" xfId="0" applyBorder="1" applyProtection="1">
      <protection locked="0"/>
    </xf>
    <xf numFmtId="0" fontId="0" fillId="2" borderId="37" xfId="0" applyFill="1" applyBorder="1"/>
    <xf numFmtId="0" fontId="0" fillId="0" borderId="38" xfId="0" applyBorder="1" applyProtection="1">
      <protection locked="0"/>
    </xf>
    <xf numFmtId="0" fontId="0" fillId="0" borderId="0" xfId="0" applyFont="1"/>
    <xf numFmtId="0" fontId="0" fillId="0" borderId="39" xfId="0" applyBorder="1" applyAlignment="1">
      <alignment horizontal="center"/>
    </xf>
    <xf numFmtId="0" fontId="0" fillId="0" borderId="40" xfId="0" applyBorder="1" applyProtection="1">
      <protection locked="0"/>
    </xf>
    <xf numFmtId="0" fontId="0" fillId="2" borderId="18" xfId="0" applyFill="1" applyBorder="1"/>
    <xf numFmtId="0" fontId="0" fillId="2" borderId="42" xfId="0" applyFill="1" applyBorder="1"/>
    <xf numFmtId="0" fontId="0" fillId="2" borderId="41" xfId="0" applyFont="1" applyFill="1" applyBorder="1"/>
    <xf numFmtId="0" fontId="0" fillId="0" borderId="43" xfId="0" applyBorder="1"/>
    <xf numFmtId="0" fontId="0" fillId="0" borderId="0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Graph Title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Best Fit Line</c:v>
          </c:tx>
          <c:spPr>
            <a:ln w="28575">
              <a:noFill/>
            </a:ln>
            <a:effectLst>
              <a:glow rad="63500">
                <a:schemeClr val="accent1">
                  <a:satMod val="175000"/>
                  <a:alpha val="39000"/>
                </a:schemeClr>
              </a:glow>
            </a:effectLst>
          </c:spPr>
          <c:marker>
            <c:symbol val="circle"/>
            <c:size val="2"/>
            <c:spPr>
              <a:effectLst>
                <a:glow rad="63500">
                  <a:schemeClr val="accent1">
                    <a:satMod val="175000"/>
                    <a:alpha val="39000"/>
                  </a:schemeClr>
                </a:glow>
              </a:effectLst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-0.10124670456237464"/>
                  <c:y val="-3.582415537830299E-2"/>
                </c:manualLayout>
              </c:layout>
              <c:numFmt formatCode="General" sourceLinked="0"/>
            </c:trendlineLbl>
          </c:trendline>
          <c:xVal>
            <c:numRef>
              <c:f>'Method A'!$B$10:$B$52</c:f>
              <c:numCache>
                <c:formatCode>General</c:formatCode>
                <c:ptCount val="43"/>
                <c:pt idx="0">
                  <c:v>1.2</c:v>
                </c:pt>
                <c:pt idx="1">
                  <c:v>2.4</c:v>
                </c:pt>
                <c:pt idx="2">
                  <c:v>3.2</c:v>
                </c:pt>
                <c:pt idx="3">
                  <c:v>4.4000000000000004</c:v>
                </c:pt>
                <c:pt idx="4">
                  <c:v>5.3</c:v>
                </c:pt>
                <c:pt idx="5">
                  <c:v>6.4</c:v>
                </c:pt>
                <c:pt idx="6">
                  <c:v>7.1</c:v>
                </c:pt>
                <c:pt idx="7">
                  <c:v>8.1999999999999993</c:v>
                </c:pt>
                <c:pt idx="8">
                  <c:v>9.4</c:v>
                </c:pt>
                <c:pt idx="9">
                  <c:v>10.1</c:v>
                </c:pt>
                <c:pt idx="10">
                  <c:v>10.5</c:v>
                </c:pt>
                <c:pt idx="42">
                  <c:v>15.2</c:v>
                </c:pt>
              </c:numCache>
            </c:numRef>
          </c:xVal>
          <c:yVal>
            <c:numRef>
              <c:f>'Method A'!$C$10:$C$52</c:f>
              <c:numCache>
                <c:formatCode>General</c:formatCode>
                <c:ptCount val="43"/>
                <c:pt idx="0">
                  <c:v>13</c:v>
                </c:pt>
                <c:pt idx="1">
                  <c:v>44</c:v>
                </c:pt>
                <c:pt idx="2">
                  <c:v>65</c:v>
                </c:pt>
                <c:pt idx="3">
                  <c:v>89</c:v>
                </c:pt>
                <c:pt idx="4">
                  <c:v>110</c:v>
                </c:pt>
                <c:pt idx="5">
                  <c:v>137</c:v>
                </c:pt>
                <c:pt idx="6">
                  <c:v>160</c:v>
                </c:pt>
                <c:pt idx="7">
                  <c:v>200</c:v>
                </c:pt>
                <c:pt idx="8">
                  <c:v>215</c:v>
                </c:pt>
                <c:pt idx="9">
                  <c:v>232</c:v>
                </c:pt>
                <c:pt idx="10">
                  <c:v>250</c:v>
                </c:pt>
                <c:pt idx="42">
                  <c:v>357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39088"/>
        <c:axId val="193558144"/>
      </c:scatterChart>
      <c:valAx>
        <c:axId val="194539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X-Axis</a:t>
                </a:r>
                <a:r>
                  <a:rPr lang="en-CA" baseline="0"/>
                  <a:t> Label</a:t>
                </a:r>
                <a:endParaRPr lang="en-CA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3558144"/>
        <c:crosses val="autoZero"/>
        <c:crossBetween val="midCat"/>
      </c:valAx>
      <c:valAx>
        <c:axId val="1935581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CA"/>
                  <a:t>Y-Axis Label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4539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CA"/>
            </a:pPr>
            <a:r>
              <a:rPr lang="en-CA"/>
              <a:t>Graph Title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Best Fit Line</c:v>
          </c:tx>
          <c:spPr>
            <a:ln w="28575">
              <a:noFill/>
            </a:ln>
            <a:effectLst>
              <a:glow rad="63500">
                <a:schemeClr val="accent1">
                  <a:satMod val="175000"/>
                  <a:alpha val="39000"/>
                </a:schemeClr>
              </a:glow>
            </a:effectLst>
          </c:spPr>
          <c:marker>
            <c:symbol val="circle"/>
            <c:size val="2"/>
            <c:spPr>
              <a:effectLst>
                <a:glow rad="63500">
                  <a:schemeClr val="accent1">
                    <a:satMod val="175000"/>
                    <a:alpha val="39000"/>
                  </a:schemeClr>
                </a:glow>
              </a:effectLst>
            </c:spPr>
          </c:marker>
          <c:trendline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'Method B'!$E$10:$E$24</c:f>
                <c:numCache>
                  <c:formatCode>General</c:formatCode>
                  <c:ptCount val="15"/>
                  <c:pt idx="0">
                    <c:v>5</c:v>
                  </c:pt>
                  <c:pt idx="1">
                    <c:v>5</c:v>
                  </c:pt>
                  <c:pt idx="2">
                    <c:v>5</c:v>
                  </c:pt>
                  <c:pt idx="3">
                    <c:v>5</c:v>
                  </c:pt>
                  <c:pt idx="4">
                    <c:v>5</c:v>
                  </c:pt>
                  <c:pt idx="5">
                    <c:v>5</c:v>
                  </c:pt>
                  <c:pt idx="6">
                    <c:v>5</c:v>
                  </c:pt>
                  <c:pt idx="7">
                    <c:v>5</c:v>
                  </c:pt>
                  <c:pt idx="8">
                    <c:v>5</c:v>
                  </c:pt>
                  <c:pt idx="9">
                    <c:v>5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5</c:v>
                  </c:pt>
                  <c:pt idx="14">
                    <c:v>5</c:v>
                  </c:pt>
                </c:numCache>
              </c:numRef>
            </c:plus>
            <c:minus>
              <c:numRef>
                <c:f>'Method B'!$E$10:$E$24</c:f>
                <c:numCache>
                  <c:formatCode>General</c:formatCode>
                  <c:ptCount val="15"/>
                  <c:pt idx="0">
                    <c:v>5</c:v>
                  </c:pt>
                  <c:pt idx="1">
                    <c:v>5</c:v>
                  </c:pt>
                  <c:pt idx="2">
                    <c:v>5</c:v>
                  </c:pt>
                  <c:pt idx="3">
                    <c:v>5</c:v>
                  </c:pt>
                  <c:pt idx="4">
                    <c:v>5</c:v>
                  </c:pt>
                  <c:pt idx="5">
                    <c:v>5</c:v>
                  </c:pt>
                  <c:pt idx="6">
                    <c:v>5</c:v>
                  </c:pt>
                  <c:pt idx="7">
                    <c:v>5</c:v>
                  </c:pt>
                  <c:pt idx="8">
                    <c:v>5</c:v>
                  </c:pt>
                  <c:pt idx="9">
                    <c:v>5</c:v>
                  </c:pt>
                  <c:pt idx="10">
                    <c:v>5</c:v>
                  </c:pt>
                  <c:pt idx="11">
                    <c:v>5</c:v>
                  </c:pt>
                  <c:pt idx="12">
                    <c:v>5</c:v>
                  </c:pt>
                  <c:pt idx="13">
                    <c:v>5</c:v>
                  </c:pt>
                  <c:pt idx="14">
                    <c:v>5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Ref>
                <c:f>'Method B'!$C$10:$C$24</c:f>
                <c:numCache>
                  <c:formatCode>General</c:formatCode>
                  <c:ptCount val="1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  <c:pt idx="5">
                    <c:v>0.5</c:v>
                  </c:pt>
                  <c:pt idx="6">
                    <c:v>0.5</c:v>
                  </c:pt>
                  <c:pt idx="7">
                    <c:v>0.5</c:v>
                  </c:pt>
                  <c:pt idx="8">
                    <c:v>0.5</c:v>
                  </c:pt>
                  <c:pt idx="9">
                    <c:v>0.5</c:v>
                  </c:pt>
                  <c:pt idx="10">
                    <c:v>0.5</c:v>
                  </c:pt>
                  <c:pt idx="11">
                    <c:v>0.5</c:v>
                  </c:pt>
                  <c:pt idx="12">
                    <c:v>0.5</c:v>
                  </c:pt>
                  <c:pt idx="13">
                    <c:v>0.5</c:v>
                  </c:pt>
                  <c:pt idx="14">
                    <c:v>0.5</c:v>
                  </c:pt>
                </c:numCache>
              </c:numRef>
            </c:plus>
            <c:minus>
              <c:numRef>
                <c:f>'Method B'!$C$10:$C$24</c:f>
                <c:numCache>
                  <c:formatCode>General</c:formatCode>
                  <c:ptCount val="15"/>
                  <c:pt idx="0">
                    <c:v>0.5</c:v>
                  </c:pt>
                  <c:pt idx="1">
                    <c:v>0.5</c:v>
                  </c:pt>
                  <c:pt idx="2">
                    <c:v>0.5</c:v>
                  </c:pt>
                  <c:pt idx="3">
                    <c:v>0.5</c:v>
                  </c:pt>
                  <c:pt idx="4">
                    <c:v>0.5</c:v>
                  </c:pt>
                  <c:pt idx="5">
                    <c:v>0.5</c:v>
                  </c:pt>
                  <c:pt idx="6">
                    <c:v>0.5</c:v>
                  </c:pt>
                  <c:pt idx="7">
                    <c:v>0.5</c:v>
                  </c:pt>
                  <c:pt idx="8">
                    <c:v>0.5</c:v>
                  </c:pt>
                  <c:pt idx="9">
                    <c:v>0.5</c:v>
                  </c:pt>
                  <c:pt idx="10">
                    <c:v>0.5</c:v>
                  </c:pt>
                  <c:pt idx="11">
                    <c:v>0.5</c:v>
                  </c:pt>
                  <c:pt idx="12">
                    <c:v>0.5</c:v>
                  </c:pt>
                  <c:pt idx="13">
                    <c:v>0.5</c:v>
                  </c:pt>
                  <c:pt idx="14">
                    <c:v>0.5</c:v>
                  </c:pt>
                </c:numCache>
              </c:numRef>
            </c:minus>
          </c:errBars>
          <c:xVal>
            <c:numRef>
              <c:f>'Method B'!$B$10:$B$24</c:f>
              <c:numCache>
                <c:formatCode>General</c:formatCode>
                <c:ptCount val="15"/>
                <c:pt idx="0">
                  <c:v>1.2</c:v>
                </c:pt>
                <c:pt idx="1">
                  <c:v>2.4</c:v>
                </c:pt>
                <c:pt idx="2">
                  <c:v>3.2</c:v>
                </c:pt>
                <c:pt idx="3">
                  <c:v>4.4000000000000004</c:v>
                </c:pt>
                <c:pt idx="4">
                  <c:v>5.3</c:v>
                </c:pt>
                <c:pt idx="5">
                  <c:v>6.4</c:v>
                </c:pt>
                <c:pt idx="6">
                  <c:v>7.1</c:v>
                </c:pt>
                <c:pt idx="7">
                  <c:v>8.1999999999999993</c:v>
                </c:pt>
                <c:pt idx="8">
                  <c:v>9.4</c:v>
                </c:pt>
                <c:pt idx="9">
                  <c:v>10.1</c:v>
                </c:pt>
                <c:pt idx="10">
                  <c:v>10.5</c:v>
                </c:pt>
                <c:pt idx="11">
                  <c:v>11.2</c:v>
                </c:pt>
                <c:pt idx="12">
                  <c:v>12.3</c:v>
                </c:pt>
                <c:pt idx="13">
                  <c:v>14.5</c:v>
                </c:pt>
                <c:pt idx="14">
                  <c:v>15.2</c:v>
                </c:pt>
              </c:numCache>
            </c:numRef>
          </c:xVal>
          <c:yVal>
            <c:numRef>
              <c:f>'Method B'!$D$10:$D$24</c:f>
              <c:numCache>
                <c:formatCode>General</c:formatCode>
                <c:ptCount val="15"/>
                <c:pt idx="0">
                  <c:v>13</c:v>
                </c:pt>
                <c:pt idx="1">
                  <c:v>44</c:v>
                </c:pt>
                <c:pt idx="2">
                  <c:v>65</c:v>
                </c:pt>
                <c:pt idx="3">
                  <c:v>89</c:v>
                </c:pt>
                <c:pt idx="4">
                  <c:v>110</c:v>
                </c:pt>
                <c:pt idx="5">
                  <c:v>137</c:v>
                </c:pt>
                <c:pt idx="6">
                  <c:v>160</c:v>
                </c:pt>
                <c:pt idx="7">
                  <c:v>200</c:v>
                </c:pt>
                <c:pt idx="8">
                  <c:v>215</c:v>
                </c:pt>
                <c:pt idx="9">
                  <c:v>232</c:v>
                </c:pt>
                <c:pt idx="10">
                  <c:v>250</c:v>
                </c:pt>
                <c:pt idx="11">
                  <c:v>274</c:v>
                </c:pt>
                <c:pt idx="12">
                  <c:v>301</c:v>
                </c:pt>
                <c:pt idx="13">
                  <c:v>320</c:v>
                </c:pt>
                <c:pt idx="14">
                  <c:v>357</c:v>
                </c:pt>
              </c:numCache>
            </c:numRef>
          </c:yVal>
          <c:smooth val="0"/>
        </c:ser>
        <c:ser>
          <c:idx val="1"/>
          <c:order val="1"/>
          <c:tx>
            <c:v>"Top Boundary Line"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chemeClr val="tx1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'Method B'!$J$29:$K$29</c:f>
              <c:numCache>
                <c:formatCode>General</c:formatCode>
                <c:ptCount val="2"/>
                <c:pt idx="0">
                  <c:v>0.7</c:v>
                </c:pt>
                <c:pt idx="1">
                  <c:v>15.7</c:v>
                </c:pt>
              </c:numCache>
            </c:numRef>
          </c:xVal>
          <c:yVal>
            <c:numRef>
              <c:f>'Method B'!$L$29:$M$29</c:f>
              <c:numCache>
                <c:formatCode>General</c:formatCode>
                <c:ptCount val="2"/>
                <c:pt idx="0">
                  <c:v>32.897651342786943</c:v>
                </c:pt>
                <c:pt idx="1">
                  <c:v>402.05117432860652</c:v>
                </c:pt>
              </c:numCache>
            </c:numRef>
          </c:yVal>
          <c:smooth val="0"/>
        </c:ser>
        <c:ser>
          <c:idx val="2"/>
          <c:order val="2"/>
          <c:tx>
            <c:v>"Bottom Boundary Line"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chemeClr val="tx1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'Method B'!$J$30:$K$30</c:f>
              <c:numCache>
                <c:formatCode>General</c:formatCode>
                <c:ptCount val="2"/>
                <c:pt idx="0">
                  <c:v>0.7</c:v>
                </c:pt>
                <c:pt idx="1">
                  <c:v>15.7</c:v>
                </c:pt>
              </c:numCache>
            </c:numRef>
          </c:xVal>
          <c:yVal>
            <c:numRef>
              <c:f>'Method B'!$L$30:$M$30</c:f>
              <c:numCache>
                <c:formatCode>General</c:formatCode>
                <c:ptCount val="2"/>
                <c:pt idx="0">
                  <c:v>-36.926358579814789</c:v>
                </c:pt>
                <c:pt idx="1">
                  <c:v>332.22716440600482</c:v>
                </c:pt>
              </c:numCache>
            </c:numRef>
          </c:yVal>
          <c:smooth val="0"/>
        </c:ser>
        <c:ser>
          <c:idx val="3"/>
          <c:order val="3"/>
          <c:tx>
            <c:v>Max</c:v>
          </c:tx>
          <c:spPr>
            <a:ln w="28575">
              <a:noFill/>
            </a:ln>
          </c:spPr>
          <c:trendline>
            <c:spPr>
              <a:ln>
                <a:solidFill>
                  <a:srgbClr val="FF0000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'Method B'!$J$34:$K$34</c:f>
              <c:numCache>
                <c:formatCode>General</c:formatCode>
                <c:ptCount val="2"/>
                <c:pt idx="0">
                  <c:v>0.7</c:v>
                </c:pt>
                <c:pt idx="1">
                  <c:v>15.7</c:v>
                </c:pt>
              </c:numCache>
            </c:numRef>
          </c:xVal>
          <c:yVal>
            <c:numRef>
              <c:f>'Method B'!$L$34:$M$34</c:f>
              <c:numCache>
                <c:formatCode>General</c:formatCode>
                <c:ptCount val="2"/>
                <c:pt idx="0">
                  <c:v>-36.926358579814789</c:v>
                </c:pt>
                <c:pt idx="1">
                  <c:v>402.05117432860652</c:v>
                </c:pt>
              </c:numCache>
            </c:numRef>
          </c:yVal>
          <c:smooth val="0"/>
        </c:ser>
        <c:ser>
          <c:idx val="4"/>
          <c:order val="4"/>
          <c:tx>
            <c:v>Min</c:v>
          </c:tx>
          <c:spPr>
            <a:ln w="28575">
              <a:noFill/>
            </a:ln>
          </c:spPr>
          <c:trendline>
            <c:spPr>
              <a:ln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'Method B'!$J$35:$K$35</c:f>
              <c:numCache>
                <c:formatCode>General</c:formatCode>
                <c:ptCount val="2"/>
                <c:pt idx="0">
                  <c:v>0.7</c:v>
                </c:pt>
                <c:pt idx="1">
                  <c:v>15.7</c:v>
                </c:pt>
              </c:numCache>
            </c:numRef>
          </c:xVal>
          <c:yVal>
            <c:numRef>
              <c:f>'Method B'!$L$35:$M$35</c:f>
              <c:numCache>
                <c:formatCode>General</c:formatCode>
                <c:ptCount val="2"/>
                <c:pt idx="0">
                  <c:v>32.897651342786943</c:v>
                </c:pt>
                <c:pt idx="1">
                  <c:v>332.22716440600482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10584"/>
        <c:axId val="193850960"/>
      </c:scatterChart>
      <c:valAx>
        <c:axId val="194610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CA"/>
                </a:pPr>
                <a:r>
                  <a:rPr lang="en-CA"/>
                  <a:t>X-Axis</a:t>
                </a:r>
                <a:r>
                  <a:rPr lang="en-CA" baseline="0"/>
                  <a:t> Label</a:t>
                </a:r>
                <a:endParaRPr lang="en-CA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CA"/>
            </a:pPr>
            <a:endParaRPr lang="en-US"/>
          </a:p>
        </c:txPr>
        <c:crossAx val="193850960"/>
        <c:crosses val="autoZero"/>
        <c:crossBetween val="midCat"/>
      </c:valAx>
      <c:valAx>
        <c:axId val="1938509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CA"/>
                </a:pPr>
                <a:r>
                  <a:rPr lang="en-CA"/>
                  <a:t>Y-Axis Label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CA"/>
            </a:pPr>
            <a:endParaRPr lang="en-US"/>
          </a:p>
        </c:txPr>
        <c:crossAx val="194610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56</xdr:row>
      <xdr:rowOff>23812</xdr:rowOff>
    </xdr:from>
    <xdr:to>
      <xdr:col>7</xdr:col>
      <xdr:colOff>361950</xdr:colOff>
      <xdr:row>84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27</xdr:row>
      <xdr:rowOff>80962</xdr:rowOff>
    </xdr:from>
    <xdr:to>
      <xdr:col>7</xdr:col>
      <xdr:colOff>342900</xdr:colOff>
      <xdr:row>55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showGridLines="0" tabSelected="1" topLeftCell="A58" workbookViewId="0">
      <selection activeCell="F14" sqref="F14"/>
    </sheetView>
  </sheetViews>
  <sheetFormatPr defaultRowHeight="15" x14ac:dyDescent="0.25"/>
  <cols>
    <col min="1" max="1" width="31.42578125" customWidth="1"/>
    <col min="2" max="2" width="18.7109375" customWidth="1"/>
    <col min="3" max="3" width="19.5703125" customWidth="1"/>
    <col min="4" max="4" width="18.42578125" customWidth="1"/>
    <col min="5" max="5" width="18" customWidth="1"/>
    <col min="6" max="6" width="10.85546875" customWidth="1"/>
    <col min="7" max="7" width="11.140625" customWidth="1"/>
  </cols>
  <sheetData>
    <row r="1" spans="1:9" x14ac:dyDescent="0.25">
      <c r="A1" s="1" t="s">
        <v>38</v>
      </c>
    </row>
    <row r="3" spans="1:9" ht="15.75" thickBot="1" x14ac:dyDescent="0.3">
      <c r="A3" s="1" t="s">
        <v>0</v>
      </c>
    </row>
    <row r="4" spans="1:9" x14ac:dyDescent="0.25">
      <c r="A4" s="4" t="s">
        <v>5</v>
      </c>
      <c r="B4" s="5"/>
      <c r="C4" s="5"/>
      <c r="D4" s="5"/>
      <c r="E4" s="5"/>
      <c r="F4" s="5"/>
      <c r="G4" s="5"/>
      <c r="H4" s="5"/>
      <c r="I4" s="6"/>
    </row>
    <row r="5" spans="1:9" x14ac:dyDescent="0.25">
      <c r="A5" s="7" t="s">
        <v>1</v>
      </c>
      <c r="B5" s="8"/>
      <c r="C5" s="8"/>
      <c r="D5" s="8"/>
      <c r="E5" s="8"/>
      <c r="F5" s="8"/>
      <c r="G5" s="8"/>
      <c r="H5" s="8"/>
      <c r="I5" s="9"/>
    </row>
    <row r="6" spans="1:9" ht="15.75" thickBot="1" x14ac:dyDescent="0.3">
      <c r="A6" s="10" t="s">
        <v>7</v>
      </c>
      <c r="B6" s="11"/>
      <c r="C6" s="11"/>
      <c r="D6" s="11"/>
      <c r="E6" s="11"/>
      <c r="F6" s="11"/>
      <c r="G6" s="11"/>
      <c r="H6" s="11"/>
      <c r="I6" s="12"/>
    </row>
    <row r="8" spans="1:9" ht="15.75" thickBot="1" x14ac:dyDescent="0.3"/>
    <row r="9" spans="1:9" x14ac:dyDescent="0.25">
      <c r="B9" s="2" t="s">
        <v>2</v>
      </c>
      <c r="C9" s="3" t="s">
        <v>3</v>
      </c>
    </row>
    <row r="10" spans="1:9" x14ac:dyDescent="0.25">
      <c r="A10" s="13" t="s">
        <v>4</v>
      </c>
      <c r="B10" s="31">
        <v>1.2</v>
      </c>
      <c r="C10" s="32">
        <v>13</v>
      </c>
    </row>
    <row r="11" spans="1:9" x14ac:dyDescent="0.25">
      <c r="B11" s="31">
        <v>2.4</v>
      </c>
      <c r="C11" s="32">
        <v>44</v>
      </c>
    </row>
    <row r="12" spans="1:9" x14ac:dyDescent="0.25">
      <c r="B12" s="31">
        <v>3.2</v>
      </c>
      <c r="C12" s="32">
        <v>65</v>
      </c>
    </row>
    <row r="13" spans="1:9" x14ac:dyDescent="0.25">
      <c r="B13" s="31">
        <v>4.4000000000000004</v>
      </c>
      <c r="C13" s="32">
        <v>89</v>
      </c>
    </row>
    <row r="14" spans="1:9" x14ac:dyDescent="0.25">
      <c r="B14" s="31">
        <v>5.3</v>
      </c>
      <c r="C14" s="32">
        <v>110</v>
      </c>
    </row>
    <row r="15" spans="1:9" x14ac:dyDescent="0.25">
      <c r="B15" s="31">
        <v>6.4</v>
      </c>
      <c r="C15" s="32">
        <v>137</v>
      </c>
    </row>
    <row r="16" spans="1:9" x14ac:dyDescent="0.25">
      <c r="B16" s="31">
        <v>7.1</v>
      </c>
      <c r="C16" s="32">
        <v>160</v>
      </c>
    </row>
    <row r="17" spans="1:3" x14ac:dyDescent="0.25">
      <c r="B17" s="31">
        <v>8.1999999999999993</v>
      </c>
      <c r="C17" s="32">
        <v>200</v>
      </c>
    </row>
    <row r="18" spans="1:3" x14ac:dyDescent="0.25">
      <c r="A18" s="13" t="s">
        <v>8</v>
      </c>
      <c r="B18" s="31">
        <v>9.4</v>
      </c>
      <c r="C18" s="32">
        <v>215</v>
      </c>
    </row>
    <row r="19" spans="1:3" x14ac:dyDescent="0.25">
      <c r="B19" s="31">
        <v>10.1</v>
      </c>
      <c r="C19" s="32">
        <v>232</v>
      </c>
    </row>
    <row r="20" spans="1:3" x14ac:dyDescent="0.25">
      <c r="B20" s="31">
        <v>10.5</v>
      </c>
      <c r="C20" s="32">
        <v>250</v>
      </c>
    </row>
    <row r="21" spans="1:3" x14ac:dyDescent="0.25">
      <c r="B21" s="31"/>
      <c r="C21" s="32"/>
    </row>
    <row r="22" spans="1:3" x14ac:dyDescent="0.25">
      <c r="B22" s="31"/>
      <c r="C22" s="32"/>
    </row>
    <row r="23" spans="1:3" x14ac:dyDescent="0.25">
      <c r="B23" s="31"/>
      <c r="C23" s="32"/>
    </row>
    <row r="24" spans="1:3" x14ac:dyDescent="0.25">
      <c r="B24" s="31"/>
      <c r="C24" s="32"/>
    </row>
    <row r="25" spans="1:3" x14ac:dyDescent="0.25">
      <c r="B25" s="31"/>
      <c r="C25" s="32"/>
    </row>
    <row r="26" spans="1:3" x14ac:dyDescent="0.25">
      <c r="B26" s="31"/>
      <c r="C26" s="32"/>
    </row>
    <row r="27" spans="1:3" x14ac:dyDescent="0.25">
      <c r="B27" s="31"/>
      <c r="C27" s="32"/>
    </row>
    <row r="28" spans="1:3" x14ac:dyDescent="0.25">
      <c r="B28" s="31"/>
      <c r="C28" s="32"/>
    </row>
    <row r="29" spans="1:3" x14ac:dyDescent="0.25">
      <c r="B29" s="31"/>
      <c r="C29" s="32"/>
    </row>
    <row r="30" spans="1:3" x14ac:dyDescent="0.25">
      <c r="B30" s="31"/>
      <c r="C30" s="32"/>
    </row>
    <row r="31" spans="1:3" x14ac:dyDescent="0.25">
      <c r="B31" s="31"/>
      <c r="C31" s="32"/>
    </row>
    <row r="32" spans="1:3" x14ac:dyDescent="0.25">
      <c r="B32" s="31"/>
      <c r="C32" s="32"/>
    </row>
    <row r="33" spans="2:3" x14ac:dyDescent="0.25">
      <c r="B33" s="31"/>
      <c r="C33" s="32"/>
    </row>
    <row r="34" spans="2:3" x14ac:dyDescent="0.25">
      <c r="B34" s="31"/>
      <c r="C34" s="32"/>
    </row>
    <row r="35" spans="2:3" x14ac:dyDescent="0.25">
      <c r="B35" s="31"/>
      <c r="C35" s="32"/>
    </row>
    <row r="36" spans="2:3" x14ac:dyDescent="0.25">
      <c r="B36" s="31"/>
      <c r="C36" s="32"/>
    </row>
    <row r="37" spans="2:3" x14ac:dyDescent="0.25">
      <c r="B37" s="31"/>
      <c r="C37" s="32"/>
    </row>
    <row r="38" spans="2:3" x14ac:dyDescent="0.25">
      <c r="B38" s="31"/>
      <c r="C38" s="32"/>
    </row>
    <row r="39" spans="2:3" x14ac:dyDescent="0.25">
      <c r="B39" s="31"/>
      <c r="C39" s="32"/>
    </row>
    <row r="40" spans="2:3" x14ac:dyDescent="0.25">
      <c r="B40" s="31"/>
      <c r="C40" s="32"/>
    </row>
    <row r="41" spans="2:3" x14ac:dyDescent="0.25">
      <c r="B41" s="31"/>
      <c r="C41" s="32"/>
    </row>
    <row r="42" spans="2:3" x14ac:dyDescent="0.25">
      <c r="B42" s="31"/>
      <c r="C42" s="32"/>
    </row>
    <row r="43" spans="2:3" x14ac:dyDescent="0.25">
      <c r="B43" s="31"/>
      <c r="C43" s="32"/>
    </row>
    <row r="44" spans="2:3" x14ac:dyDescent="0.25">
      <c r="B44" s="31"/>
      <c r="C44" s="32"/>
    </row>
    <row r="45" spans="2:3" x14ac:dyDescent="0.25">
      <c r="B45" s="31"/>
      <c r="C45" s="32"/>
    </row>
    <row r="46" spans="2:3" x14ac:dyDescent="0.25">
      <c r="B46" s="31"/>
      <c r="C46" s="32"/>
    </row>
    <row r="47" spans="2:3" x14ac:dyDescent="0.25">
      <c r="B47" s="31"/>
      <c r="C47" s="32"/>
    </row>
    <row r="48" spans="2:3" x14ac:dyDescent="0.25">
      <c r="B48" s="53"/>
      <c r="C48" s="32"/>
    </row>
    <row r="49" spans="1:9" x14ac:dyDescent="0.25">
      <c r="B49" s="31"/>
      <c r="C49" s="32"/>
    </row>
    <row r="50" spans="1:9" x14ac:dyDescent="0.25">
      <c r="B50" s="31"/>
      <c r="C50" s="32"/>
    </row>
    <row r="51" spans="1:9" x14ac:dyDescent="0.25">
      <c r="B51" s="31"/>
      <c r="C51" s="32"/>
    </row>
    <row r="52" spans="1:9" ht="15.75" thickBot="1" x14ac:dyDescent="0.3">
      <c r="A52" s="13" t="s">
        <v>6</v>
      </c>
      <c r="B52" s="33">
        <v>15.2</v>
      </c>
      <c r="C52" s="34">
        <v>357</v>
      </c>
    </row>
    <row r="53" spans="1:9" ht="15.75" thickBot="1" x14ac:dyDescent="0.3"/>
    <row r="54" spans="1:9" ht="15.75" thickBot="1" x14ac:dyDescent="0.3">
      <c r="A54" s="14" t="s">
        <v>9</v>
      </c>
      <c r="B54" s="15"/>
      <c r="C54" s="15"/>
      <c r="D54" s="15"/>
      <c r="E54" s="15"/>
      <c r="F54" s="15"/>
      <c r="G54" s="15"/>
      <c r="H54" s="15"/>
      <c r="I54" s="16"/>
    </row>
  </sheetData>
  <sheetProtection selectLockedCells="1"/>
  <protectedRanges>
    <protectedRange password="9A0D" sqref="B10:C47 B49:C52 C48" name="Range1"/>
  </protectedRange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S63"/>
  <sheetViews>
    <sheetView showGridLines="0" workbookViewId="0"/>
  </sheetViews>
  <sheetFormatPr defaultColWidth="8.85546875" defaultRowHeight="15" x14ac:dyDescent="0.25"/>
  <cols>
    <col min="1" max="1" width="31.42578125" customWidth="1"/>
    <col min="2" max="2" width="18.7109375" customWidth="1"/>
    <col min="3" max="3" width="19.42578125" customWidth="1"/>
    <col min="4" max="4" width="18.42578125" customWidth="1"/>
    <col min="5" max="5" width="18" customWidth="1"/>
    <col min="6" max="6" width="10.85546875" customWidth="1"/>
    <col min="7" max="7" width="11.140625" customWidth="1"/>
    <col min="10" max="10" width="18" customWidth="1"/>
    <col min="11" max="11" width="21" customWidth="1"/>
    <col min="12" max="12" width="5.85546875" customWidth="1"/>
    <col min="13" max="13" width="6.42578125" customWidth="1"/>
    <col min="15" max="15" width="11.5703125" customWidth="1"/>
  </cols>
  <sheetData>
    <row r="1" spans="1:11" x14ac:dyDescent="0.25">
      <c r="A1" s="1" t="s">
        <v>37</v>
      </c>
    </row>
    <row r="3" spans="1:11" ht="15.75" thickBot="1" x14ac:dyDescent="0.3">
      <c r="A3" s="1" t="s">
        <v>0</v>
      </c>
    </row>
    <row r="4" spans="1:11" x14ac:dyDescent="0.25">
      <c r="A4" s="4" t="s">
        <v>5</v>
      </c>
      <c r="B4" s="5"/>
      <c r="C4" s="5"/>
      <c r="D4" s="5"/>
      <c r="E4" s="5"/>
      <c r="F4" s="5"/>
      <c r="G4" s="5"/>
      <c r="H4" s="5"/>
      <c r="I4" s="6"/>
    </row>
    <row r="5" spans="1:11" x14ac:dyDescent="0.25">
      <c r="A5" s="7" t="s">
        <v>1</v>
      </c>
      <c r="B5" s="8"/>
      <c r="C5" s="8"/>
      <c r="D5" s="8"/>
      <c r="E5" s="8"/>
      <c r="F5" s="8"/>
      <c r="G5" s="8"/>
      <c r="H5" s="8"/>
      <c r="I5" s="9"/>
    </row>
    <row r="6" spans="1:11" ht="15.75" thickBot="1" x14ac:dyDescent="0.3">
      <c r="A6" s="10" t="s">
        <v>36</v>
      </c>
      <c r="B6" s="11"/>
      <c r="C6" s="11"/>
      <c r="D6" s="11"/>
      <c r="E6" s="11"/>
      <c r="F6" s="11"/>
      <c r="G6" s="11"/>
      <c r="H6" s="11"/>
      <c r="I6" s="12"/>
    </row>
    <row r="7" spans="1:11" x14ac:dyDescent="0.25">
      <c r="B7" s="45"/>
    </row>
    <row r="8" spans="1:11" ht="15.75" thickBot="1" x14ac:dyDescent="0.3">
      <c r="B8" s="40"/>
      <c r="C8" s="40"/>
      <c r="D8" s="40"/>
      <c r="E8" s="40"/>
    </row>
    <row r="9" spans="1:11" ht="16.5" thickTop="1" thickBot="1" x14ac:dyDescent="0.3">
      <c r="A9" s="41"/>
      <c r="B9" s="27" t="s">
        <v>2</v>
      </c>
      <c r="C9" s="28" t="s">
        <v>19</v>
      </c>
      <c r="D9" s="28" t="s">
        <v>3</v>
      </c>
      <c r="E9" s="46" t="s">
        <v>20</v>
      </c>
      <c r="J9" t="s">
        <v>35</v>
      </c>
      <c r="K9" t="s">
        <v>34</v>
      </c>
    </row>
    <row r="10" spans="1:11" ht="15.75" thickTop="1" x14ac:dyDescent="0.25">
      <c r="A10" s="43" t="s">
        <v>4</v>
      </c>
      <c r="B10" s="35">
        <v>1.2</v>
      </c>
      <c r="C10" s="36">
        <v>0.5</v>
      </c>
      <c r="D10" s="36">
        <v>13</v>
      </c>
      <c r="E10" s="47">
        <v>5</v>
      </c>
      <c r="J10">
        <f t="shared" ref="J10:J24" si="0">IF(B10=0,0,IF($B$60&gt;0,(D10+E10)-(B$60*(B10-C10)+C$60),(D10+E10)-(B$60*(B10+C10)+C$60)))</f>
        <v>15.485003107232885</v>
      </c>
      <c r="K10">
        <f t="shared" ref="K10:K24" si="1">IF(B10=0,0,(IF($B$60 &gt;0,B$60*(B10+C10)+C$60-(D10-E10),B$60*(B10-C10)+C$60-(D10-E10))))</f>
        <v>19.125231758488425</v>
      </c>
    </row>
    <row r="11" spans="1:11" x14ac:dyDescent="0.25">
      <c r="A11" s="41"/>
      <c r="B11" s="42">
        <v>2.4</v>
      </c>
      <c r="C11" s="36">
        <v>0.5</v>
      </c>
      <c r="D11" s="39">
        <v>44</v>
      </c>
      <c r="E11" s="47">
        <v>5</v>
      </c>
      <c r="J11">
        <f t="shared" si="0"/>
        <v>16.952721268367313</v>
      </c>
      <c r="K11">
        <f t="shared" si="1"/>
        <v>17.657513597353997</v>
      </c>
    </row>
    <row r="12" spans="1:11" x14ac:dyDescent="0.25">
      <c r="A12" s="41"/>
      <c r="B12" s="42">
        <v>3.2</v>
      </c>
      <c r="C12" s="36">
        <v>0.5</v>
      </c>
      <c r="D12" s="39">
        <v>65</v>
      </c>
      <c r="E12" s="47">
        <v>5</v>
      </c>
      <c r="J12">
        <f t="shared" si="0"/>
        <v>18.264533375790265</v>
      </c>
      <c r="K12">
        <f t="shared" si="1"/>
        <v>16.345701489931045</v>
      </c>
    </row>
    <row r="13" spans="1:11" x14ac:dyDescent="0.25">
      <c r="A13" s="41"/>
      <c r="B13" s="42">
        <v>4.4000000000000004</v>
      </c>
      <c r="C13" s="36">
        <v>0.5</v>
      </c>
      <c r="D13" s="39">
        <v>89</v>
      </c>
      <c r="E13" s="47">
        <v>5</v>
      </c>
      <c r="J13">
        <f t="shared" si="0"/>
        <v>12.732251536924679</v>
      </c>
      <c r="K13">
        <f t="shared" si="1"/>
        <v>21.877983328796631</v>
      </c>
    </row>
    <row r="14" spans="1:11" x14ac:dyDescent="0.25">
      <c r="A14" s="41"/>
      <c r="B14" s="42">
        <v>5.3</v>
      </c>
      <c r="C14" s="36">
        <v>0.5</v>
      </c>
      <c r="D14" s="39">
        <v>110</v>
      </c>
      <c r="E14" s="47">
        <v>5</v>
      </c>
      <c r="J14">
        <f t="shared" si="0"/>
        <v>11.583040157775514</v>
      </c>
      <c r="K14">
        <f t="shared" si="1"/>
        <v>23.027194707945796</v>
      </c>
    </row>
    <row r="15" spans="1:11" x14ac:dyDescent="0.25">
      <c r="A15" s="41"/>
      <c r="B15" s="42">
        <v>6.4</v>
      </c>
      <c r="C15" s="36">
        <v>0.5</v>
      </c>
      <c r="D15" s="39">
        <v>137</v>
      </c>
      <c r="E15" s="47">
        <v>5</v>
      </c>
      <c r="J15">
        <f t="shared" si="0"/>
        <v>11.511781805482059</v>
      </c>
      <c r="K15">
        <f t="shared" si="1"/>
        <v>23.098453060239251</v>
      </c>
    </row>
    <row r="16" spans="1:11" x14ac:dyDescent="0.25">
      <c r="A16" s="41"/>
      <c r="B16" s="42">
        <v>7.1</v>
      </c>
      <c r="C16" s="36">
        <v>0.5</v>
      </c>
      <c r="D16" s="39">
        <v>160</v>
      </c>
      <c r="E16" s="47">
        <v>5</v>
      </c>
      <c r="J16">
        <f t="shared" si="0"/>
        <v>17.284617399477156</v>
      </c>
      <c r="K16">
        <f t="shared" si="1"/>
        <v>17.325617466244154</v>
      </c>
    </row>
    <row r="17" spans="1:19" x14ac:dyDescent="0.25">
      <c r="A17" s="41"/>
      <c r="B17" s="42">
        <v>8.1999999999999993</v>
      </c>
      <c r="C17" s="36">
        <v>0.5</v>
      </c>
      <c r="D17" s="39">
        <v>200</v>
      </c>
      <c r="E17" s="47">
        <v>5</v>
      </c>
      <c r="J17">
        <f t="shared" si="0"/>
        <v>30.213359047183729</v>
      </c>
      <c r="K17">
        <f t="shared" si="1"/>
        <v>4.3968758185375805</v>
      </c>
    </row>
    <row r="18" spans="1:19" x14ac:dyDescent="0.25">
      <c r="A18" s="43" t="s">
        <v>8</v>
      </c>
      <c r="B18" s="42">
        <v>9.4</v>
      </c>
      <c r="C18" s="36">
        <v>0.5</v>
      </c>
      <c r="D18" s="39">
        <v>215</v>
      </c>
      <c r="E18" s="47">
        <v>5</v>
      </c>
      <c r="J18">
        <f t="shared" si="0"/>
        <v>15.681077208318129</v>
      </c>
      <c r="K18">
        <f t="shared" si="1"/>
        <v>18.929157657403181</v>
      </c>
    </row>
    <row r="19" spans="1:19" x14ac:dyDescent="0.25">
      <c r="A19" s="41"/>
      <c r="B19" s="42">
        <v>10.1</v>
      </c>
      <c r="C19" s="36">
        <v>0.5</v>
      </c>
      <c r="D19" s="39">
        <v>232</v>
      </c>
      <c r="E19" s="47">
        <v>5</v>
      </c>
      <c r="J19">
        <f t="shared" si="0"/>
        <v>15.453912802313226</v>
      </c>
      <c r="K19">
        <f t="shared" si="1"/>
        <v>19.156322063408055</v>
      </c>
    </row>
    <row r="20" spans="1:19" x14ac:dyDescent="0.25">
      <c r="A20" s="41"/>
      <c r="B20" s="42">
        <v>10.5</v>
      </c>
      <c r="C20" s="36">
        <v>0.5</v>
      </c>
      <c r="D20" s="39">
        <v>250</v>
      </c>
      <c r="E20" s="47">
        <v>5</v>
      </c>
      <c r="J20">
        <f t="shared" si="0"/>
        <v>23.609818856024702</v>
      </c>
      <c r="K20">
        <f t="shared" si="1"/>
        <v>11.000416009696664</v>
      </c>
    </row>
    <row r="21" spans="1:19" x14ac:dyDescent="0.25">
      <c r="A21" s="41"/>
      <c r="B21" s="42">
        <v>11.2</v>
      </c>
      <c r="C21" s="36">
        <v>0.5</v>
      </c>
      <c r="D21" s="39">
        <v>274</v>
      </c>
      <c r="E21" s="47">
        <v>5</v>
      </c>
      <c r="J21">
        <f t="shared" si="0"/>
        <v>30.382654450019828</v>
      </c>
      <c r="K21">
        <f t="shared" si="1"/>
        <v>4.2275804157014818</v>
      </c>
    </row>
    <row r="22" spans="1:19" x14ac:dyDescent="0.25">
      <c r="A22" s="41"/>
      <c r="B22" s="42">
        <v>12.3</v>
      </c>
      <c r="C22" s="36">
        <v>0.5</v>
      </c>
      <c r="D22" s="39">
        <v>301</v>
      </c>
      <c r="E22" s="47">
        <v>5</v>
      </c>
      <c r="J22">
        <f t="shared" si="0"/>
        <v>30.311396097726288</v>
      </c>
      <c r="K22">
        <f t="shared" si="1"/>
        <v>4.2988387679949938</v>
      </c>
    </row>
    <row r="23" spans="1:19" x14ac:dyDescent="0.25">
      <c r="A23" s="41"/>
      <c r="B23" s="42">
        <v>14.5</v>
      </c>
      <c r="C23" s="36">
        <v>0.5</v>
      </c>
      <c r="D23" s="39">
        <v>320</v>
      </c>
      <c r="E23" s="47">
        <v>5</v>
      </c>
      <c r="J23">
        <f t="shared" si="0"/>
        <v>-4.8311206068605088</v>
      </c>
      <c r="K23">
        <f t="shared" si="1"/>
        <v>39.441355472581904</v>
      </c>
    </row>
    <row r="24" spans="1:19" ht="15.75" thickBot="1" x14ac:dyDescent="0.3">
      <c r="A24" s="43" t="s">
        <v>6</v>
      </c>
      <c r="B24" s="44">
        <v>15.2</v>
      </c>
      <c r="C24" s="36">
        <v>0.5</v>
      </c>
      <c r="D24" s="37">
        <v>357</v>
      </c>
      <c r="E24" s="47">
        <v>5</v>
      </c>
      <c r="J24">
        <f t="shared" si="0"/>
        <v>14.94171498713456</v>
      </c>
      <c r="K24">
        <f t="shared" si="1"/>
        <v>19.668519878586721</v>
      </c>
    </row>
    <row r="25" spans="1:19" ht="16.5" thickTop="1" thickBot="1" x14ac:dyDescent="0.3"/>
    <row r="26" spans="1:19" ht="15.75" thickBot="1" x14ac:dyDescent="0.3">
      <c r="A26" s="14" t="s">
        <v>9</v>
      </c>
      <c r="B26" s="15"/>
      <c r="C26" s="15"/>
      <c r="D26" s="15"/>
      <c r="E26" s="15"/>
      <c r="F26" s="15"/>
      <c r="G26" s="15"/>
      <c r="H26" s="15"/>
      <c r="I26" s="16"/>
    </row>
    <row r="27" spans="1:19" x14ac:dyDescent="0.25">
      <c r="I27" t="s">
        <v>33</v>
      </c>
    </row>
    <row r="28" spans="1:19" x14ac:dyDescent="0.25">
      <c r="J28" s="38" t="s">
        <v>32</v>
      </c>
      <c r="K28" s="38" t="s">
        <v>31</v>
      </c>
      <c r="L28" s="38" t="s">
        <v>30</v>
      </c>
      <c r="M28" s="38" t="s">
        <v>29</v>
      </c>
      <c r="P28" s="38" t="s">
        <v>10</v>
      </c>
      <c r="Q28" s="38" t="s">
        <v>12</v>
      </c>
      <c r="R28" s="38" t="s">
        <v>11</v>
      </c>
      <c r="S28" s="38" t="s">
        <v>13</v>
      </c>
    </row>
    <row r="29" spans="1:19" x14ac:dyDescent="0.25">
      <c r="I29" s="38" t="s">
        <v>28</v>
      </c>
      <c r="J29" s="38">
        <f>B10-C10</f>
        <v>0.7</v>
      </c>
      <c r="K29" s="38">
        <f>B24+C24</f>
        <v>15.7</v>
      </c>
      <c r="L29" s="38">
        <f>B$60*J29+C$60+MAX(J10:J24)</f>
        <v>32.897651342786943</v>
      </c>
      <c r="M29" s="38">
        <f>B60*K29+C60+MAX(J10:J24)</f>
        <v>402.05117432860652</v>
      </c>
      <c r="O29" s="38" t="s">
        <v>27</v>
      </c>
      <c r="P29" s="38">
        <f>J29</f>
        <v>0.7</v>
      </c>
      <c r="Q29" s="38">
        <f>J29</f>
        <v>0.7</v>
      </c>
      <c r="R29" s="38">
        <f>L29</f>
        <v>32.897651342786943</v>
      </c>
      <c r="S29" s="38">
        <f>M29</f>
        <v>402.05117432860652</v>
      </c>
    </row>
    <row r="30" spans="1:19" x14ac:dyDescent="0.25">
      <c r="I30" s="38" t="s">
        <v>26</v>
      </c>
      <c r="J30" s="38">
        <f>B10-C10</f>
        <v>0.7</v>
      </c>
      <c r="K30" s="38">
        <f>B24+C24</f>
        <v>15.7</v>
      </c>
      <c r="L30" s="38">
        <f>B60*J30+C60-MAX(K10:K24)</f>
        <v>-36.926358579814789</v>
      </c>
      <c r="M30" s="38">
        <f>B60*K30+C60-MAX(K10:K24)</f>
        <v>332.22716440600482</v>
      </c>
      <c r="O30" s="38" t="s">
        <v>25</v>
      </c>
      <c r="P30" s="38">
        <f>K29</f>
        <v>15.7</v>
      </c>
      <c r="Q30" s="38">
        <f>K29</f>
        <v>15.7</v>
      </c>
      <c r="R30" s="38">
        <f>M29</f>
        <v>402.05117432860652</v>
      </c>
      <c r="S30" s="38">
        <f>M30</f>
        <v>332.22716440600482</v>
      </c>
    </row>
    <row r="32" spans="1:19" x14ac:dyDescent="0.25">
      <c r="I32" t="s">
        <v>24</v>
      </c>
    </row>
    <row r="33" spans="9:13" x14ac:dyDescent="0.25">
      <c r="J33" s="38" t="s">
        <v>10</v>
      </c>
      <c r="K33" s="38" t="s">
        <v>12</v>
      </c>
      <c r="L33" s="38" t="s">
        <v>11</v>
      </c>
      <c r="M33" s="38" t="s">
        <v>13</v>
      </c>
    </row>
    <row r="34" spans="9:13" x14ac:dyDescent="0.25">
      <c r="I34" s="38" t="s">
        <v>22</v>
      </c>
      <c r="J34" s="38">
        <f>J30</f>
        <v>0.7</v>
      </c>
      <c r="K34" s="38">
        <f>K29</f>
        <v>15.7</v>
      </c>
      <c r="L34" s="38">
        <f>L30</f>
        <v>-36.926358579814789</v>
      </c>
      <c r="M34" s="38">
        <f>M29</f>
        <v>402.05117432860652</v>
      </c>
    </row>
    <row r="35" spans="9:13" x14ac:dyDescent="0.25">
      <c r="I35" s="38" t="s">
        <v>23</v>
      </c>
      <c r="J35" s="38">
        <f>B10-C10</f>
        <v>0.7</v>
      </c>
      <c r="K35" s="38">
        <f>B24+C24</f>
        <v>15.7</v>
      </c>
      <c r="L35" s="38">
        <f>L29</f>
        <v>32.897651342786943</v>
      </c>
      <c r="M35" s="38">
        <f>M30</f>
        <v>332.22716440600482</v>
      </c>
    </row>
    <row r="45" spans="9:13" x14ac:dyDescent="0.25">
      <c r="J45" s="52"/>
    </row>
    <row r="56" spans="1:9" ht="15.75" thickBot="1" x14ac:dyDescent="0.3"/>
    <row r="57" spans="1:9" ht="15.75" thickBot="1" x14ac:dyDescent="0.3">
      <c r="A57" s="50" t="s">
        <v>21</v>
      </c>
      <c r="B57" s="48"/>
      <c r="C57" s="48"/>
      <c r="D57" s="48"/>
      <c r="E57" s="48"/>
      <c r="F57" s="48"/>
      <c r="G57" s="48"/>
      <c r="H57" s="48"/>
      <c r="I57" s="49"/>
    </row>
    <row r="58" spans="1:9" ht="16.5" thickTop="1" thickBot="1" x14ac:dyDescent="0.3">
      <c r="B58" s="40"/>
      <c r="C58" s="40"/>
      <c r="D58" s="51"/>
      <c r="E58" s="51"/>
    </row>
    <row r="59" spans="1:9" ht="16.5" thickTop="1" thickBot="1" x14ac:dyDescent="0.3">
      <c r="A59" s="23"/>
      <c r="B59" s="30" t="s">
        <v>17</v>
      </c>
      <c r="C59" s="29" t="s">
        <v>18</v>
      </c>
    </row>
    <row r="60" spans="1:9" ht="15.75" thickTop="1" x14ac:dyDescent="0.25">
      <c r="A60" s="22" t="s">
        <v>14</v>
      </c>
      <c r="B60" s="17">
        <f>SLOPE(D10:D24,B10:B24)</f>
        <v>24.61023486572131</v>
      </c>
      <c r="C60" s="24">
        <f>INTERCEPT(D10:D24,B10:B24)</f>
        <v>-14.712167513237802</v>
      </c>
    </row>
    <row r="61" spans="1:9" x14ac:dyDescent="0.25">
      <c r="A61" s="20" t="s">
        <v>15</v>
      </c>
      <c r="B61" s="18">
        <f>SLOPE(L34:M34,J34:K34)</f>
        <v>29.26516886056142</v>
      </c>
      <c r="C61" s="25">
        <f>MAX(INTERCEPT(L34:M34,J34:K34),INTERCEPT(L35:M35,J35:K35))</f>
        <v>18.928940733170123</v>
      </c>
    </row>
    <row r="62" spans="1:9" ht="15.75" thickBot="1" x14ac:dyDescent="0.3">
      <c r="A62" s="21" t="s">
        <v>16</v>
      </c>
      <c r="B62" s="19">
        <f>SLOPE(L35:M35,J35:K35)</f>
        <v>19.955300870881192</v>
      </c>
      <c r="C62" s="26">
        <f>MIN(INTERCEPT(L34:M34,J34:K34),INTERCEPT(L35:M35,J35:K35))</f>
        <v>-57.411976782207773</v>
      </c>
    </row>
    <row r="63" spans="1:9" ht="15.75" thickTop="1" x14ac:dyDescent="0.25"/>
  </sheetData>
  <protectedRanges>
    <protectedRange password="9A0D" sqref="D10:D24 B10:B24" name="Range1"/>
  </protectedRange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 A</vt:lpstr>
      <vt:lpstr>Method B</vt:lpstr>
    </vt:vector>
  </TitlesOfParts>
  <Company>Camosun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CamosunCollege</dc:creator>
  <cp:lastModifiedBy>newuser</cp:lastModifiedBy>
  <dcterms:created xsi:type="dcterms:W3CDTF">2014-06-04T20:00:09Z</dcterms:created>
  <dcterms:modified xsi:type="dcterms:W3CDTF">2018-03-05T19:59:19Z</dcterms:modified>
</cp:coreProperties>
</file>